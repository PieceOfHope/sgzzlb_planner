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iece\OneDrive\바탕 화면\"/>
    </mc:Choice>
  </mc:AlternateContent>
  <bookViews>
    <workbookView xWindow="0" yWindow="0" windowWidth="22635" windowHeight="14535"/>
  </bookViews>
  <sheets>
    <sheet name="건물자원" sheetId="2" r:id="rId1"/>
    <sheet name="임무표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3" i="1" l="1"/>
  <c r="I93" i="1"/>
  <c r="H93" i="1"/>
  <c r="G93" i="1"/>
  <c r="F93" i="1"/>
  <c r="E93" i="1"/>
  <c r="D93" i="1"/>
  <c r="J45" i="1"/>
  <c r="I45" i="1"/>
  <c r="H45" i="1"/>
  <c r="G45" i="1"/>
  <c r="F45" i="1"/>
  <c r="E45" i="1"/>
  <c r="D45" i="1"/>
  <c r="J82" i="1"/>
  <c r="I82" i="1"/>
  <c r="H82" i="1"/>
  <c r="G82" i="1"/>
  <c r="F82" i="1"/>
  <c r="E82" i="1"/>
  <c r="D82" i="1"/>
  <c r="J36" i="1"/>
  <c r="I36" i="1"/>
  <c r="H36" i="1"/>
  <c r="G36" i="1"/>
  <c r="F36" i="1"/>
  <c r="E36" i="1"/>
  <c r="D36" i="1"/>
  <c r="J69" i="1"/>
  <c r="I69" i="1"/>
  <c r="H69" i="1"/>
  <c r="G69" i="1"/>
  <c r="F69" i="1"/>
  <c r="E69" i="1"/>
  <c r="D69" i="1"/>
  <c r="J23" i="1"/>
  <c r="I23" i="1"/>
  <c r="H23" i="1"/>
  <c r="G23" i="1"/>
  <c r="F23" i="1"/>
  <c r="E23" i="1"/>
  <c r="D23" i="1"/>
  <c r="AD16" i="1"/>
  <c r="AC16" i="1"/>
  <c r="AB16" i="1"/>
  <c r="AA16" i="1"/>
  <c r="Z16" i="1"/>
  <c r="Y16" i="1"/>
  <c r="X16" i="1"/>
  <c r="J59" i="1"/>
  <c r="I59" i="1"/>
  <c r="H59" i="1"/>
  <c r="G59" i="1"/>
  <c r="F59" i="1"/>
  <c r="E59" i="1"/>
  <c r="D59" i="1"/>
  <c r="J14" i="1"/>
  <c r="I14" i="1"/>
  <c r="H14" i="1"/>
  <c r="G14" i="1"/>
  <c r="F14" i="1"/>
  <c r="E14" i="1"/>
  <c r="D14" i="1"/>
  <c r="J6" i="1"/>
  <c r="I6" i="1"/>
  <c r="H6" i="1"/>
  <c r="G6" i="1"/>
  <c r="F6" i="1"/>
  <c r="E6" i="1"/>
  <c r="D6" i="1"/>
</calcChain>
</file>

<file path=xl/sharedStrings.xml><?xml version="1.0" encoding="utf-8"?>
<sst xmlns="http://schemas.openxmlformats.org/spreadsheetml/2006/main" count="463" uniqueCount="296">
  <si>
    <t>장</t>
  </si>
  <si>
    <t>임무</t>
  </si>
  <si>
    <t>명성</t>
  </si>
  <si>
    <t>목재</t>
  </si>
  <si>
    <t>철광</t>
  </si>
  <si>
    <t>석재</t>
  </si>
  <si>
    <t>식량</t>
  </si>
  <si>
    <t>동전</t>
  </si>
  <si>
    <t>금화</t>
  </si>
  <si>
    <t>2열병대 신규 임무!, 4군왕/2열병대 사이에서 고민할 필요 없음!</t>
  </si>
  <si>
    <t>7군왕 창고폭발! 석재 다 모으면 4.5만!</t>
  </si>
  <si>
    <t>시즌 규칙 보기</t>
  </si>
  <si>
    <t>창고 건설</t>
  </si>
  <si>
    <t>2열병대</t>
  </si>
  <si>
    <t>군왕전 6</t>
  </si>
  <si>
    <t>1장 완료</t>
  </si>
  <si>
    <t>4토 1개</t>
  </si>
  <si>
    <t>생산량</t>
  </si>
  <si>
    <t>1장 소계</t>
  </si>
  <si>
    <t>군왕전 4</t>
  </si>
  <si>
    <t>영지 소탕</t>
  </si>
  <si>
    <t>민가 1</t>
  </si>
  <si>
    <t>5토 1개</t>
  </si>
  <si>
    <t>민가 3</t>
  </si>
  <si>
    <t>병력 5000</t>
  </si>
  <si>
    <t>군왕전 Lv.2</t>
  </si>
  <si>
    <t>3토 10개</t>
  </si>
  <si>
    <t>민가 7</t>
  </si>
  <si>
    <t>3토 1개</t>
  </si>
  <si>
    <t>정찰</t>
  </si>
  <si>
    <t>벌목장 7</t>
  </si>
  <si>
    <t>농장 건설</t>
  </si>
  <si>
    <t>둔전</t>
  </si>
  <si>
    <t>제철소 7</t>
  </si>
  <si>
    <t>채석장 건설</t>
  </si>
  <si>
    <t>4토 3개</t>
  </si>
  <si>
    <t>농장 7</t>
  </si>
  <si>
    <t>2장 완료</t>
  </si>
  <si>
    <t>영지 포기</t>
  </si>
  <si>
    <t>채석장 7</t>
  </si>
  <si>
    <t>2장 소계</t>
  </si>
  <si>
    <t>6장 완료</t>
  </si>
  <si>
    <t>징병소 3</t>
  </si>
  <si>
    <t>6장 소계</t>
  </si>
  <si>
    <t>10장 완료</t>
  </si>
  <si>
    <t>10장 소계</t>
  </si>
  <si>
    <t>군왕전 Lv.3</t>
  </si>
  <si>
    <t>벌목장 건설</t>
  </si>
  <si>
    <t>숙소 3</t>
  </si>
  <si>
    <t>제철소 건설</t>
  </si>
  <si>
    <t>장수 10렙</t>
  </si>
  <si>
    <t>예비병 100명</t>
  </si>
  <si>
    <t>4토 5개</t>
  </si>
  <si>
    <t>3토 3개</t>
  </si>
  <si>
    <t>4토 10개</t>
  </si>
  <si>
    <t>3장 완료</t>
  </si>
  <si>
    <t>세력치 800</t>
  </si>
  <si>
    <t>3장 소계</t>
  </si>
  <si>
    <t>시련</t>
  </si>
  <si>
    <t>7장 완료</t>
  </si>
  <si>
    <t>7장 소계</t>
  </si>
  <si>
    <t>창고 Lv.3</t>
  </si>
  <si>
    <t>장수 Lv.8</t>
  </si>
  <si>
    <t>벌목장 Lv.3</t>
  </si>
  <si>
    <t>군왕전 5</t>
  </si>
  <si>
    <t>제철소 Lv.3</t>
  </si>
  <si>
    <t>창고 5</t>
  </si>
  <si>
    <t>농장 Lv.3</t>
  </si>
  <si>
    <t>벌목장 5</t>
  </si>
  <si>
    <t>채석장 Lv.3</t>
  </si>
  <si>
    <t>제철소 5</t>
  </si>
  <si>
    <t>3토 5개</t>
  </si>
  <si>
    <t>농장 5</t>
  </si>
  <si>
    <t>세력치 300</t>
  </si>
  <si>
    <t>채석장 5</t>
  </si>
  <si>
    <t>주정관 임명</t>
  </si>
  <si>
    <t>자원 생산량</t>
  </si>
  <si>
    <t>4장 완료</t>
  </si>
  <si>
    <t>민가 5</t>
  </si>
  <si>
    <t>4장 소계</t>
  </si>
  <si>
    <t>병력 3000</t>
  </si>
  <si>
    <t>8장 완료</t>
  </si>
  <si>
    <t>8장 소계</t>
  </si>
  <si>
    <t>전법 5렙</t>
  </si>
  <si>
    <t>속도 1</t>
  </si>
  <si>
    <t>무력 1</t>
  </si>
  <si>
    <t>속도 3</t>
  </si>
  <si>
    <t>방어 1</t>
  </si>
  <si>
    <t>방어 3</t>
  </si>
  <si>
    <t>모략 1</t>
  </si>
  <si>
    <t>무력 3</t>
  </si>
  <si>
    <t>5장 완료</t>
  </si>
  <si>
    <t>모략 3</t>
  </si>
  <si>
    <t>5장 소계</t>
  </si>
  <si>
    <t>징병소 2</t>
  </si>
  <si>
    <t>4토 15개</t>
  </si>
  <si>
    <t>세력치 1000</t>
  </si>
  <si>
    <t>9장 완료</t>
  </si>
  <si>
    <t>9장 소계</t>
  </si>
  <si>
    <t>군왕전</t>
  </si>
  <si>
    <t>창고</t>
  </si>
  <si>
    <t>민가</t>
  </si>
  <si>
    <t>군영</t>
  </si>
  <si>
    <t>징병소</t>
  </si>
  <si>
    <t>구궁도</t>
  </si>
  <si>
    <t>사기단</t>
  </si>
  <si>
    <t>팔괘진</t>
  </si>
  <si>
    <t>원구단</t>
  </si>
  <si>
    <t>숙소</t>
  </si>
  <si>
    <t>협력</t>
  </si>
  <si>
    <t>열병대</t>
  </si>
  <si>
    <t>사령단</t>
  </si>
  <si>
    <t>농장</t>
    <phoneticPr fontId="2" type="noConversion"/>
  </si>
  <si>
    <t>채석장</t>
    <phoneticPr fontId="2" type="noConversion"/>
  </si>
  <si>
    <t>벌목장</t>
    <phoneticPr fontId="2" type="noConversion"/>
  </si>
  <si>
    <t>제련소</t>
    <phoneticPr fontId="2" type="noConversion"/>
  </si>
  <si>
    <t>효과</t>
    <phoneticPr fontId="2" type="noConversion"/>
  </si>
  <si>
    <t>효과</t>
    <phoneticPr fontId="2" type="noConversion"/>
  </si>
  <si>
    <t>최대 자원 +20000</t>
    <phoneticPr fontId="2" type="noConversion"/>
  </si>
  <si>
    <t>식량 생산량 +100</t>
    <phoneticPr fontId="2" type="noConversion"/>
  </si>
  <si>
    <t>식량 생산량 +500</t>
  </si>
  <si>
    <t>석재 생산량 +100</t>
    <phoneticPr fontId="2" type="noConversion"/>
  </si>
  <si>
    <t>석재 생산량 +300</t>
  </si>
  <si>
    <t>석재 생산량 +400</t>
  </si>
  <si>
    <t>석재 생산량 +500</t>
  </si>
  <si>
    <t>석재 생산량 +1100</t>
  </si>
  <si>
    <t>석재 생산량 +1300</t>
  </si>
  <si>
    <t>석재 생산량 +1500</t>
  </si>
  <si>
    <t>석재 생산량 +2000</t>
  </si>
  <si>
    <t>석재 생산량 +2500</t>
  </si>
  <si>
    <t>석재 생산량 +3000</t>
  </si>
  <si>
    <t>목재 생산량 +100</t>
    <phoneticPr fontId="2" type="noConversion"/>
  </si>
  <si>
    <t>목재 생산량 +300</t>
  </si>
  <si>
    <t>목재 생산량 +400</t>
  </si>
  <si>
    <t>목재 생산량 +500</t>
  </si>
  <si>
    <t>목재 생산량 +1100</t>
  </si>
  <si>
    <t>목재 생산량 +1300</t>
  </si>
  <si>
    <t>목재 생산량 +1500</t>
  </si>
  <si>
    <t>목재 생산량 +2000</t>
  </si>
  <si>
    <t>목재 생산량 +2500</t>
  </si>
  <si>
    <t>목재 생산량 +3000</t>
  </si>
  <si>
    <t>철광 생산량 +100</t>
    <phoneticPr fontId="2" type="noConversion"/>
  </si>
  <si>
    <t>철광 생산량 +300</t>
  </si>
  <si>
    <t>철광 생산량 +400</t>
  </si>
  <si>
    <t>철광 생산량 +500</t>
  </si>
  <si>
    <t>철광 생산량 +1100</t>
  </si>
  <si>
    <t>철광 생산량 +1300</t>
  </si>
  <si>
    <t>철광 생산량 +1500</t>
  </si>
  <si>
    <t>철광 생산량 +2000</t>
  </si>
  <si>
    <t>철광 생산량 +2500</t>
  </si>
  <si>
    <t>철광 생산량 +3000</t>
  </si>
  <si>
    <t>최대 자원 +30000</t>
    <phoneticPr fontId="2" type="noConversion"/>
  </si>
  <si>
    <t>동전 생산량 +100</t>
    <phoneticPr fontId="2" type="noConversion"/>
  </si>
  <si>
    <t>동전 생산량 +300</t>
  </si>
  <si>
    <t>동전 생산량 +400</t>
  </si>
  <si>
    <t>동전 생산량 +500</t>
  </si>
  <si>
    <t>동전 생산량 +600</t>
  </si>
  <si>
    <t>동전 생산량 +700</t>
  </si>
  <si>
    <t>동전 생산량 +800</t>
  </si>
  <si>
    <t>동전 생산량 +900</t>
  </si>
  <si>
    <t>동전 생산량 +1000</t>
  </si>
  <si>
    <t>동전 생산량 +1100</t>
  </si>
  <si>
    <t>동전 생산량 +1200</t>
  </si>
  <si>
    <t>동전 생산량 +1300</t>
  </si>
  <si>
    <t>동전 생산량 +1400</t>
  </si>
  <si>
    <t>동전 생산량 +1500</t>
  </si>
  <si>
    <t>최대 자원 +50000</t>
    <phoneticPr fontId="2" type="noConversion"/>
  </si>
  <si>
    <t>좌민부</t>
    <phoneticPr fontId="2" type="noConversion"/>
  </si>
  <si>
    <t>최대 자원 +80000</t>
    <phoneticPr fontId="2" type="noConversion"/>
  </si>
  <si>
    <t>식량 생산량 +200</t>
    <phoneticPr fontId="2" type="noConversion"/>
  </si>
  <si>
    <t>식량 생산량 +300</t>
    <phoneticPr fontId="2" type="noConversion"/>
  </si>
  <si>
    <t>식량 생산량 +400</t>
    <phoneticPr fontId="2" type="noConversion"/>
  </si>
  <si>
    <t>최대 자원 +100000</t>
    <phoneticPr fontId="2" type="noConversion"/>
  </si>
  <si>
    <t>석재 생산량 +200</t>
    <phoneticPr fontId="2" type="noConversion"/>
  </si>
  <si>
    <t>목재 생산량 +200</t>
    <phoneticPr fontId="2" type="noConversion"/>
  </si>
  <si>
    <t>철광 생산량 +200</t>
    <phoneticPr fontId="2" type="noConversion"/>
  </si>
  <si>
    <t>식량 생산량 +700</t>
    <phoneticPr fontId="2" type="noConversion"/>
  </si>
  <si>
    <t>식량 생산량 +900</t>
    <phoneticPr fontId="2" type="noConversion"/>
  </si>
  <si>
    <t>식량 생산량 +1100</t>
    <phoneticPr fontId="2" type="noConversion"/>
  </si>
  <si>
    <t>식량 생산량 +15000</t>
    <phoneticPr fontId="2" type="noConversion"/>
  </si>
  <si>
    <t>식량 생산량 +14200</t>
    <phoneticPr fontId="2" type="noConversion"/>
  </si>
  <si>
    <t>식량 생산량 +13400</t>
    <phoneticPr fontId="2" type="noConversion"/>
  </si>
  <si>
    <t>식량 생산량 +12600</t>
    <phoneticPr fontId="2" type="noConversion"/>
  </si>
  <si>
    <t>식량 생산량 +11800</t>
    <phoneticPr fontId="2" type="noConversion"/>
  </si>
  <si>
    <t>식량 생산량 +11000</t>
    <phoneticPr fontId="2" type="noConversion"/>
  </si>
  <si>
    <t>식량 생산량 +10200</t>
    <phoneticPr fontId="2" type="noConversion"/>
  </si>
  <si>
    <t>식량 생산량 +9400</t>
    <phoneticPr fontId="2" type="noConversion"/>
  </si>
  <si>
    <t>식량 생산량 +8600</t>
    <phoneticPr fontId="2" type="noConversion"/>
  </si>
  <si>
    <t>식량 생산량 +7800</t>
    <phoneticPr fontId="2" type="noConversion"/>
  </si>
  <si>
    <t>식량 생산량 +7000</t>
    <phoneticPr fontId="2" type="noConversion"/>
  </si>
  <si>
    <t>식량 생산량 +1300</t>
    <phoneticPr fontId="2" type="noConversion"/>
  </si>
  <si>
    <t>식량 생산량 +1500</t>
    <phoneticPr fontId="2" type="noConversion"/>
  </si>
  <si>
    <t>식량 생산량 +3000</t>
    <phoneticPr fontId="2" type="noConversion"/>
  </si>
  <si>
    <t>식량 생산량 +3500</t>
    <phoneticPr fontId="2" type="noConversion"/>
  </si>
  <si>
    <t>식량 생산량 +2000</t>
    <phoneticPr fontId="2" type="noConversion"/>
  </si>
  <si>
    <t>식량 생산량 +2500</t>
    <phoneticPr fontId="2" type="noConversion"/>
  </si>
  <si>
    <t>식량 생산량 +4000</t>
    <phoneticPr fontId="2" type="noConversion"/>
  </si>
  <si>
    <t>식량 생산량 +4600</t>
    <phoneticPr fontId="2" type="noConversion"/>
  </si>
  <si>
    <t>식량 생산량 +5200</t>
    <phoneticPr fontId="2" type="noConversion"/>
  </si>
  <si>
    <t>식량 생산량 +5800</t>
    <phoneticPr fontId="2" type="noConversion"/>
  </si>
  <si>
    <t>식량 생산량 +6400</t>
    <phoneticPr fontId="2" type="noConversion"/>
  </si>
  <si>
    <t>석재 생산량 +700</t>
    <phoneticPr fontId="2" type="noConversion"/>
  </si>
  <si>
    <t>석재 생산량 +900</t>
    <phoneticPr fontId="2" type="noConversion"/>
  </si>
  <si>
    <t>목재 생산량 +700</t>
    <phoneticPr fontId="2" type="noConversion"/>
  </si>
  <si>
    <t>목재 생산량 +900</t>
    <phoneticPr fontId="2" type="noConversion"/>
  </si>
  <si>
    <t>철광 생산량 +700</t>
    <phoneticPr fontId="2" type="noConversion"/>
  </si>
  <si>
    <t>철광 생산량 +900</t>
    <phoneticPr fontId="2" type="noConversion"/>
  </si>
  <si>
    <t>석재 생산량 +7800</t>
  </si>
  <si>
    <t>석재 생산량 +8600</t>
  </si>
  <si>
    <t>석재 생산량 +9400</t>
  </si>
  <si>
    <t>석재 생산량 +10200</t>
  </si>
  <si>
    <t>석재 생산량 +11000</t>
  </si>
  <si>
    <t>석재 생산량 +11800</t>
  </si>
  <si>
    <t>석재 생산량 +12600</t>
  </si>
  <si>
    <t>석재 생산량 +13400</t>
  </si>
  <si>
    <t>석재 생산량 +14200</t>
  </si>
  <si>
    <t>석재 생산량 +15000</t>
  </si>
  <si>
    <t>석재 생산량 +7000</t>
  </si>
  <si>
    <t>목재 생산량 +7000</t>
  </si>
  <si>
    <t>목재 생산량 +7800</t>
  </si>
  <si>
    <t>목재 생산량 +8600</t>
  </si>
  <si>
    <t>목재 생산량 +9400</t>
  </si>
  <si>
    <t>목재 생산량 +10200</t>
  </si>
  <si>
    <t>목재 생산량 +11000</t>
  </si>
  <si>
    <t>목재 생산량 +11800</t>
  </si>
  <si>
    <t>목재 생산량 +12600</t>
  </si>
  <si>
    <t>목재 생산량 +13400</t>
  </si>
  <si>
    <t>목재 생산량 +14200</t>
  </si>
  <si>
    <t>목재 생산량 +15000</t>
  </si>
  <si>
    <t>철광 생산량 +7000</t>
  </si>
  <si>
    <t>철광 생산량 +7800</t>
  </si>
  <si>
    <t>철광 생산량 +8600</t>
  </si>
  <si>
    <t>철광 생산량 +9400</t>
  </si>
  <si>
    <t>철광 생산량 +10200</t>
  </si>
  <si>
    <t>철광 생산량 +11000</t>
  </si>
  <si>
    <t>철광 생산량 +11800</t>
  </si>
  <si>
    <t>철광 생산량 +12600</t>
  </si>
  <si>
    <t>철광 생산량 +13400</t>
  </si>
  <si>
    <t>철광 생산량 +14200</t>
  </si>
  <si>
    <t>철광 생산량 +15000</t>
  </si>
  <si>
    <t>병사전-통솔</t>
    <phoneticPr fontId="2" type="noConversion"/>
  </si>
  <si>
    <t>병사전-무력</t>
    <phoneticPr fontId="2" type="noConversion"/>
  </si>
  <si>
    <t>병사전-지력</t>
    <phoneticPr fontId="2" type="noConversion"/>
  </si>
  <si>
    <t>병사전-속도</t>
    <phoneticPr fontId="2" type="noConversion"/>
  </si>
  <si>
    <t>병영-방패병</t>
    <phoneticPr fontId="2" type="noConversion"/>
  </si>
  <si>
    <t>병영-기병</t>
    <phoneticPr fontId="2" type="noConversion"/>
  </si>
  <si>
    <t>병영-궁병</t>
    <phoneticPr fontId="2" type="noConversion"/>
  </si>
  <si>
    <t>병영-창병</t>
    <phoneticPr fontId="2" type="noConversion"/>
  </si>
  <si>
    <t>병영-병기</t>
    <phoneticPr fontId="2" type="noConversion"/>
  </si>
  <si>
    <t>최대 자원 +150000</t>
    <phoneticPr fontId="2" type="noConversion"/>
  </si>
  <si>
    <t>최대 자원 +200000</t>
    <phoneticPr fontId="2" type="noConversion"/>
  </si>
  <si>
    <t>석재 생산량 +3500</t>
  </si>
  <si>
    <t>석재 생산량 +4000</t>
  </si>
  <si>
    <t>석재 생산량 +4600</t>
  </si>
  <si>
    <t>석재 생산량 +5200</t>
  </si>
  <si>
    <t>석재 생산량 +5800</t>
  </si>
  <si>
    <t>석재 생산량 +6400</t>
  </si>
  <si>
    <t>목재 생산량 +3500</t>
  </si>
  <si>
    <t>목재 생산량 +4000</t>
  </si>
  <si>
    <t>목재 생산량 +4600</t>
  </si>
  <si>
    <t>목재 생산량 +5200</t>
  </si>
  <si>
    <t>목재 생산량 +5800</t>
  </si>
  <si>
    <t>목재 생산량 +6400</t>
  </si>
  <si>
    <t>철광 생산량 +3500</t>
  </si>
  <si>
    <t>철광 생산량 +4000</t>
  </si>
  <si>
    <t>철광 생산량 +4600</t>
  </si>
  <si>
    <t>철광 생산량 +5200</t>
  </si>
  <si>
    <t>철광 생산량 +5800</t>
  </si>
  <si>
    <t>철광 생산량 +6400</t>
  </si>
  <si>
    <t>동전 생산량 +200</t>
    <phoneticPr fontId="2" type="noConversion"/>
  </si>
  <si>
    <t>동전 생산량 +1700</t>
    <phoneticPr fontId="2" type="noConversion"/>
  </si>
  <si>
    <t>동전 생산량 +1900</t>
    <phoneticPr fontId="2" type="noConversion"/>
  </si>
  <si>
    <t>동전 생산량 +2100</t>
  </si>
  <si>
    <t>동전 생산량 +2300</t>
  </si>
  <si>
    <t>동전 생산량 +2500</t>
  </si>
  <si>
    <t>장수 휘하 병력수 +200</t>
  </si>
  <si>
    <t>장수 휘하 병력수 +400</t>
  </si>
  <si>
    <t>장수 휘하 병력수 +600</t>
  </si>
  <si>
    <t>장수 휘하 병력수 +800</t>
  </si>
  <si>
    <t>장수 휘하 병력수 +1000</t>
  </si>
  <si>
    <t>장수 휘하 병력수 +1200</t>
  </si>
  <si>
    <t>장수 휘하 병력수 +1400</t>
  </si>
  <si>
    <t>장수 휘하 병력수 +1600</t>
  </si>
  <si>
    <t>장수 휘하 병력수 +1800</t>
  </si>
  <si>
    <t>장수 휘하 병력수 +2000</t>
  </si>
  <si>
    <t>장수 휘하 병력수 +2300</t>
  </si>
  <si>
    <t>장수 휘하 병력수 +2600</t>
  </si>
  <si>
    <t>장수 휘하 병력수 +2900</t>
  </si>
  <si>
    <t>장수 휘하 병력수 +3200</t>
  </si>
  <si>
    <t>장수 휘하 병력수 +3500</t>
  </si>
  <si>
    <t>장수 휘하 병력수 +3800</t>
  </si>
  <si>
    <t>장수 휘하 병력수 +4100</t>
  </si>
  <si>
    <t>장수 휘하 병력수 +4400</t>
  </si>
  <si>
    <t>장수 휘하 병력수 +4700</t>
  </si>
  <si>
    <t>장수 휘하 병력수 +5000</t>
  </si>
  <si>
    <t>최대 자원 +3000000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</si>
</sst>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_-;\-* #,##0_-;_-* &quot;-&quot;_-;_-@"/>
  </numFmts>
  <fonts count="14">
    <font>
      <sz val="11"/>
      <color theme="1"/>
      <name val="맑은 고딕"/>
      <family val="2"/>
      <charset val="129"/>
      <scheme val="minor"/>
    </font>
    <font>
      <b/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10"/>
      <name val="Calibri"/>
      <family val="2"/>
    </font>
    <font>
      <sz val="9"/>
      <color theme="1"/>
      <name val="Malgun Gothic"/>
      <family val="3"/>
      <charset val="129"/>
    </font>
    <font>
      <sz val="10"/>
      <color theme="1"/>
      <name val="Calibri"/>
      <family val="2"/>
    </font>
    <font>
      <b/>
      <sz val="9"/>
      <color rgb="FFFF0000"/>
      <name val="Malgun Gothic"/>
      <family val="3"/>
      <charset val="129"/>
    </font>
    <font>
      <b/>
      <sz val="10"/>
      <color rgb="FFFF0000"/>
      <name val="Calibri"/>
      <family val="2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9"/>
      <color rgb="FFFF0000"/>
      <name val="Malgun Gothic"/>
      <family val="3"/>
      <charset val="129"/>
    </font>
    <font>
      <sz val="9"/>
      <name val="Malgun Gothi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Font="1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176" fontId="5" fillId="0" borderId="1" xfId="0" applyNumberFormat="1" applyFont="1" applyBorder="1" applyAlignment="1">
      <alignment wrapText="1"/>
    </xf>
    <xf numFmtId="176" fontId="6" fillId="0" borderId="1" xfId="0" applyNumberFormat="1" applyFont="1" applyBorder="1" applyAlignment="1"/>
    <xf numFmtId="0" fontId="1" fillId="2" borderId="5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176" fontId="7" fillId="0" borderId="1" xfId="0" applyNumberFormat="1" applyFont="1" applyBorder="1" applyAlignment="1">
      <alignment wrapText="1"/>
    </xf>
    <xf numFmtId="176" fontId="8" fillId="0" borderId="1" xfId="0" applyNumberFormat="1" applyFont="1" applyBorder="1" applyAlignment="1"/>
    <xf numFmtId="176" fontId="5" fillId="0" borderId="1" xfId="0" applyNumberFormat="1" applyFont="1" applyBorder="1" applyAlignment="1">
      <alignment horizontal="center"/>
    </xf>
    <xf numFmtId="176" fontId="5" fillId="0" borderId="1" xfId="0" applyNumberFormat="1" applyFont="1" applyBorder="1" applyAlignment="1">
      <alignment horizontal="right"/>
    </xf>
    <xf numFmtId="176" fontId="5" fillId="2" borderId="1" xfId="0" applyNumberFormat="1" applyFont="1" applyFill="1" applyBorder="1" applyAlignment="1"/>
    <xf numFmtId="176" fontId="5" fillId="2" borderId="1" xfId="0" applyNumberFormat="1" applyFont="1" applyFill="1" applyBorder="1" applyAlignment="1">
      <alignment horizontal="right"/>
    </xf>
    <xf numFmtId="0" fontId="9" fillId="0" borderId="0" xfId="1" applyFont="1" applyAlignment="1"/>
    <xf numFmtId="0" fontId="5" fillId="0" borderId="0" xfId="1" applyFont="1"/>
    <xf numFmtId="3" fontId="5" fillId="0" borderId="1" xfId="1" applyNumberFormat="1" applyFont="1" applyBorder="1"/>
    <xf numFmtId="0" fontId="5" fillId="0" borderId="0" xfId="1" applyFont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5" fillId="0" borderId="1" xfId="1" applyNumberFormat="1" applyFont="1" applyBorder="1" applyAlignment="1"/>
    <xf numFmtId="3" fontId="11" fillId="0" borderId="0" xfId="1" applyNumberFormat="1" applyFont="1"/>
    <xf numFmtId="3" fontId="5" fillId="0" borderId="0" xfId="1" applyNumberFormat="1" applyFont="1"/>
    <xf numFmtId="3" fontId="5" fillId="0" borderId="0" xfId="1" applyNumberFormat="1" applyFont="1" applyAlignment="1">
      <alignment horizontal="center"/>
    </xf>
    <xf numFmtId="0" fontId="7" fillId="4" borderId="0" xfId="1" applyFont="1" applyFill="1" applyAlignment="1">
      <alignment horizontal="center"/>
    </xf>
    <xf numFmtId="0" fontId="5" fillId="4" borderId="0" xfId="1" applyFont="1" applyFill="1" applyAlignment="1">
      <alignment horizontal="center"/>
    </xf>
    <xf numFmtId="0" fontId="9" fillId="4" borderId="0" xfId="1" applyFont="1" applyFill="1" applyAlignment="1"/>
    <xf numFmtId="0" fontId="5" fillId="4" borderId="0" xfId="1" applyFont="1" applyFill="1"/>
    <xf numFmtId="3" fontId="5" fillId="4" borderId="0" xfId="1" applyNumberFormat="1" applyFont="1" applyFill="1"/>
    <xf numFmtId="3" fontId="11" fillId="4" borderId="0" xfId="1" applyNumberFormat="1" applyFont="1" applyFill="1"/>
    <xf numFmtId="0" fontId="5" fillId="2" borderId="6" xfId="0" applyFont="1" applyFill="1" applyBorder="1" applyAlignment="1">
      <alignment horizontal="center"/>
    </xf>
    <xf numFmtId="0" fontId="4" fillId="0" borderId="7" xfId="0" applyFont="1" applyBorder="1" applyAlignment="1"/>
    <xf numFmtId="0" fontId="3" fillId="3" borderId="2" xfId="0" applyFont="1" applyFill="1" applyBorder="1" applyAlignment="1"/>
    <xf numFmtId="0" fontId="4" fillId="0" borderId="3" xfId="0" applyFont="1" applyBorder="1" applyAlignment="1"/>
    <xf numFmtId="0" fontId="4" fillId="0" borderId="4" xfId="0" applyFont="1" applyBorder="1" applyAlignment="1"/>
    <xf numFmtId="0" fontId="9" fillId="0" borderId="0" xfId="1" applyFont="1" applyAlignment="1">
      <alignment horizontal="center"/>
    </xf>
    <xf numFmtId="0" fontId="1" fillId="5" borderId="1" xfId="1" applyFont="1" applyFill="1" applyBorder="1" applyAlignment="1">
      <alignment horizontal="center"/>
    </xf>
    <xf numFmtId="3" fontId="12" fillId="0" borderId="1" xfId="1" applyNumberFormat="1" applyFont="1" applyBorder="1" applyAlignment="1">
      <alignment horizontal="center"/>
    </xf>
    <xf numFmtId="3" fontId="13" fillId="0" borderId="1" xfId="1" applyNumberFormat="1" applyFont="1" applyBorder="1" applyAlignment="1">
      <alignment horizontal="center"/>
    </xf>
    <xf numFmtId="3" fontId="1" fillId="5" borderId="1" xfId="1" applyNumberFormat="1" applyFont="1" applyFill="1" applyBorder="1" applyAlignment="1">
      <alignment horizont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EL58"/>
  <sheetViews>
    <sheetView tabSelected="1" workbookViewId="0">
      <selection activeCell="P41" sqref="P41"/>
    </sheetView>
  </sheetViews>
  <sheetFormatPr defaultColWidth="12.625" defaultRowHeight="15.75" customHeight="1"/>
  <cols>
    <col min="1" max="1" width="1.625" style="27" customWidth="1"/>
    <col min="2" max="2" width="5.5" style="16" customWidth="1"/>
    <col min="3" max="4" width="6.625" style="16" customWidth="1"/>
    <col min="5" max="5" width="7.875" style="16" customWidth="1"/>
    <col min="6" max="6" width="1.625" style="27" customWidth="1"/>
    <col min="7" max="7" width="5.75" style="16" customWidth="1"/>
    <col min="8" max="10" width="6.625" style="16" customWidth="1"/>
    <col min="11" max="11" width="15.25" style="36" bestFit="1" customWidth="1"/>
    <col min="12" max="12" width="1.625" style="27" customWidth="1"/>
    <col min="13" max="16" width="6.625" style="16" customWidth="1"/>
    <col min="17" max="17" width="16" style="36" bestFit="1" customWidth="1"/>
    <col min="18" max="18" width="1.625" style="27" customWidth="1"/>
    <col min="19" max="22" width="6.625" style="16" customWidth="1"/>
    <col min="23" max="23" width="16" style="36" bestFit="1" customWidth="1"/>
    <col min="24" max="24" width="1.625" style="27" customWidth="1"/>
    <col min="25" max="28" width="6.625" style="16" customWidth="1"/>
    <col min="29" max="29" width="16" style="36" bestFit="1" customWidth="1"/>
    <col min="30" max="30" width="1.625" style="27" customWidth="1"/>
    <col min="31" max="34" width="6.625" style="16" customWidth="1"/>
    <col min="35" max="35" width="16" style="36" bestFit="1" customWidth="1"/>
    <col min="36" max="36" width="1.625" style="27" customWidth="1"/>
    <col min="37" max="40" width="7" style="16" customWidth="1"/>
    <col min="41" max="41" width="1.625" style="27" customWidth="1"/>
    <col min="42" max="45" width="7" style="16" customWidth="1"/>
    <col min="46" max="46" width="14" style="36" bestFit="1" customWidth="1"/>
    <col min="47" max="47" width="1.625" style="27" customWidth="1"/>
    <col min="48" max="48" width="9.625" style="16" customWidth="1"/>
    <col min="49" max="51" width="7" style="16" customWidth="1"/>
    <col min="52" max="52" width="17.875" style="16" bestFit="1" customWidth="1"/>
    <col min="53" max="53" width="1.625" style="27" customWidth="1"/>
    <col min="54" max="54" width="9.625" style="16" customWidth="1"/>
    <col min="55" max="57" width="7" style="16" customWidth="1"/>
    <col min="58" max="58" width="1.625" style="27" customWidth="1"/>
    <col min="59" max="59" width="5.5" style="16" customWidth="1"/>
    <col min="60" max="61" width="7" style="16" customWidth="1"/>
    <col min="62" max="62" width="8.375" style="16" customWidth="1"/>
    <col min="63" max="63" width="1.625" style="27" customWidth="1"/>
    <col min="64" max="64" width="5.5" style="16" customWidth="1"/>
    <col min="65" max="66" width="7" style="16" customWidth="1"/>
    <col min="67" max="67" width="8.375" style="16" customWidth="1"/>
    <col min="68" max="68" width="1.625" style="27" customWidth="1"/>
    <col min="69" max="69" width="9.625" style="16" bestFit="1" customWidth="1"/>
    <col min="70" max="72" width="7" style="16" customWidth="1"/>
    <col min="73" max="73" width="1.625" style="27" customWidth="1"/>
    <col min="74" max="74" width="9.625" style="16" bestFit="1" customWidth="1"/>
    <col min="75" max="77" width="7" style="16" customWidth="1"/>
    <col min="78" max="78" width="1.625" style="27" customWidth="1"/>
    <col min="79" max="79" width="9.625" style="16" bestFit="1" customWidth="1"/>
    <col min="80" max="82" width="7" style="16" customWidth="1"/>
    <col min="83" max="83" width="1.625" style="27" customWidth="1"/>
    <col min="84" max="84" width="9.625" style="16" bestFit="1" customWidth="1"/>
    <col min="85" max="87" width="7" style="16" customWidth="1"/>
    <col min="88" max="88" width="1.625" style="27" customWidth="1"/>
    <col min="89" max="89" width="9.625" style="16" bestFit="1" customWidth="1"/>
    <col min="90" max="92" width="7.875" style="16" customWidth="1"/>
    <col min="93" max="93" width="1.625" style="27" customWidth="1"/>
    <col min="94" max="94" width="8.125" style="16" bestFit="1" customWidth="1"/>
    <col min="95" max="97" width="7.875" style="16" customWidth="1"/>
    <col min="98" max="98" width="1.625" style="27" customWidth="1"/>
    <col min="99" max="99" width="8.125" style="16" bestFit="1" customWidth="1"/>
    <col min="100" max="102" width="7.875" style="16" customWidth="1"/>
    <col min="103" max="103" width="1.625" style="27" customWidth="1"/>
    <col min="104" max="104" width="8.125" style="16" bestFit="1" customWidth="1"/>
    <col min="105" max="107" width="7.875" style="16" customWidth="1"/>
    <col min="108" max="108" width="1.625" style="27" customWidth="1"/>
    <col min="109" max="109" width="8.125" style="16" bestFit="1" customWidth="1"/>
    <col min="110" max="112" width="7.875" style="16" customWidth="1"/>
    <col min="113" max="113" width="1.625" style="27" customWidth="1"/>
    <col min="114" max="114" width="6" style="16" bestFit="1" customWidth="1"/>
    <col min="115" max="117" width="6.625" style="16" customWidth="1"/>
    <col min="118" max="118" width="1.625" style="27" customWidth="1"/>
    <col min="119" max="119" width="6" style="16" bestFit="1" customWidth="1"/>
    <col min="120" max="122" width="6.625" style="16" customWidth="1"/>
    <col min="123" max="123" width="1.625" style="27" customWidth="1"/>
    <col min="124" max="124" width="6" style="16" bestFit="1" customWidth="1"/>
    <col min="125" max="126" width="6.625" style="16" customWidth="1"/>
    <col min="127" max="127" width="7.875" style="16" customWidth="1"/>
    <col min="128" max="128" width="1.625" style="27" customWidth="1"/>
    <col min="129" max="129" width="6" style="16" bestFit="1" customWidth="1"/>
    <col min="130" max="131" width="6.625" style="16" customWidth="1"/>
    <col min="132" max="132" width="7.875" style="16" customWidth="1"/>
    <col min="133" max="133" width="1.625" style="27" customWidth="1"/>
    <col min="134" max="134" width="4.5" style="16" bestFit="1" customWidth="1"/>
    <col min="135" max="136" width="6.625" style="16" customWidth="1"/>
    <col min="137" max="137" width="7.875" style="16" customWidth="1"/>
    <col min="138" max="138" width="1.625" style="27" customWidth="1"/>
    <col min="139" max="139" width="6" style="16" bestFit="1" customWidth="1"/>
    <col min="140" max="141" width="6.625" style="16" customWidth="1"/>
    <col min="142" max="142" width="7.875" style="16" customWidth="1"/>
    <col min="143" max="143" width="6.625" style="16" customWidth="1"/>
    <col min="144" max="16384" width="12.625" style="16"/>
  </cols>
  <sheetData>
    <row r="2" spans="2:142" ht="15.75" customHeight="1">
      <c r="B2" s="37" t="s">
        <v>99</v>
      </c>
      <c r="C2" s="37" t="s">
        <v>3</v>
      </c>
      <c r="D2" s="37" t="s">
        <v>4</v>
      </c>
      <c r="E2" s="37" t="s">
        <v>5</v>
      </c>
      <c r="G2" s="37" t="s">
        <v>100</v>
      </c>
      <c r="H2" s="37" t="s">
        <v>3</v>
      </c>
      <c r="I2" s="37" t="s">
        <v>4</v>
      </c>
      <c r="J2" s="37" t="s">
        <v>5</v>
      </c>
      <c r="K2" s="37" t="s">
        <v>117</v>
      </c>
      <c r="L2" s="28"/>
      <c r="M2" s="37" t="s">
        <v>112</v>
      </c>
      <c r="N2" s="37" t="s">
        <v>3</v>
      </c>
      <c r="O2" s="37" t="s">
        <v>4</v>
      </c>
      <c r="P2" s="37" t="s">
        <v>5</v>
      </c>
      <c r="Q2" s="37" t="s">
        <v>116</v>
      </c>
      <c r="R2" s="25"/>
      <c r="S2" s="37" t="s">
        <v>113</v>
      </c>
      <c r="T2" s="37" t="s">
        <v>3</v>
      </c>
      <c r="U2" s="37" t="s">
        <v>4</v>
      </c>
      <c r="V2" s="37" t="s">
        <v>5</v>
      </c>
      <c r="W2" s="37" t="s">
        <v>116</v>
      </c>
      <c r="X2" s="25"/>
      <c r="Y2" s="37" t="s">
        <v>114</v>
      </c>
      <c r="Z2" s="37" t="s">
        <v>3</v>
      </c>
      <c r="AA2" s="37" t="s">
        <v>4</v>
      </c>
      <c r="AB2" s="37" t="s">
        <v>5</v>
      </c>
      <c r="AC2" s="37" t="s">
        <v>116</v>
      </c>
      <c r="AD2" s="25"/>
      <c r="AE2" s="37" t="s">
        <v>115</v>
      </c>
      <c r="AF2" s="37" t="s">
        <v>3</v>
      </c>
      <c r="AG2" s="37" t="s">
        <v>4</v>
      </c>
      <c r="AH2" s="37" t="s">
        <v>5</v>
      </c>
      <c r="AI2" s="37" t="s">
        <v>116</v>
      </c>
      <c r="AJ2" s="25"/>
      <c r="AK2" s="37" t="s">
        <v>167</v>
      </c>
      <c r="AL2" s="37" t="s">
        <v>3</v>
      </c>
      <c r="AM2" s="37" t="s">
        <v>4</v>
      </c>
      <c r="AN2" s="37" t="s">
        <v>5</v>
      </c>
      <c r="AO2" s="25"/>
      <c r="AP2" s="37" t="s">
        <v>101</v>
      </c>
      <c r="AQ2" s="37" t="s">
        <v>3</v>
      </c>
      <c r="AR2" s="37" t="s">
        <v>4</v>
      </c>
      <c r="AS2" s="37" t="s">
        <v>5</v>
      </c>
      <c r="AT2" s="37" t="s">
        <v>116</v>
      </c>
      <c r="AU2" s="25"/>
      <c r="AV2" s="37" t="s">
        <v>102</v>
      </c>
      <c r="AW2" s="37" t="s">
        <v>3</v>
      </c>
      <c r="AX2" s="37" t="s">
        <v>4</v>
      </c>
      <c r="AY2" s="37" t="s">
        <v>5</v>
      </c>
      <c r="AZ2" s="37" t="s">
        <v>116</v>
      </c>
      <c r="BA2" s="25"/>
      <c r="BB2" s="40" t="s">
        <v>111</v>
      </c>
      <c r="BC2" s="40" t="s">
        <v>3</v>
      </c>
      <c r="BD2" s="40" t="s">
        <v>4</v>
      </c>
      <c r="BE2" s="40" t="s">
        <v>5</v>
      </c>
      <c r="BF2" s="25"/>
      <c r="BG2" s="37" t="s">
        <v>103</v>
      </c>
      <c r="BH2" s="37" t="s">
        <v>3</v>
      </c>
      <c r="BI2" s="37" t="s">
        <v>4</v>
      </c>
      <c r="BJ2" s="37" t="s">
        <v>5</v>
      </c>
      <c r="BK2" s="25"/>
      <c r="BL2" s="37" t="s">
        <v>109</v>
      </c>
      <c r="BM2" s="37" t="s">
        <v>3</v>
      </c>
      <c r="BN2" s="37" t="s">
        <v>4</v>
      </c>
      <c r="BO2" s="37" t="s">
        <v>5</v>
      </c>
      <c r="BP2" s="25"/>
      <c r="BQ2" s="40" t="s">
        <v>241</v>
      </c>
      <c r="BR2" s="40" t="s">
        <v>3</v>
      </c>
      <c r="BS2" s="40" t="s">
        <v>4</v>
      </c>
      <c r="BT2" s="40" t="s">
        <v>5</v>
      </c>
      <c r="BU2" s="25"/>
      <c r="BV2" s="40" t="s">
        <v>240</v>
      </c>
      <c r="BW2" s="40" t="s">
        <v>3</v>
      </c>
      <c r="BX2" s="40" t="s">
        <v>4</v>
      </c>
      <c r="BY2" s="40" t="s">
        <v>5</v>
      </c>
      <c r="BZ2" s="25"/>
      <c r="CA2" s="40" t="s">
        <v>242</v>
      </c>
      <c r="CB2" s="40" t="s">
        <v>3</v>
      </c>
      <c r="CC2" s="40" t="s">
        <v>4</v>
      </c>
      <c r="CD2" s="40" t="s">
        <v>5</v>
      </c>
      <c r="CE2" s="25"/>
      <c r="CF2" s="40" t="s">
        <v>243</v>
      </c>
      <c r="CG2" s="40" t="s">
        <v>3</v>
      </c>
      <c r="CH2" s="40" t="s">
        <v>4</v>
      </c>
      <c r="CI2" s="40" t="s">
        <v>5</v>
      </c>
      <c r="CJ2" s="25"/>
      <c r="CK2" s="40" t="s">
        <v>244</v>
      </c>
      <c r="CL2" s="40" t="s">
        <v>3</v>
      </c>
      <c r="CM2" s="40" t="s">
        <v>4</v>
      </c>
      <c r="CN2" s="40" t="s">
        <v>5</v>
      </c>
      <c r="CO2" s="25"/>
      <c r="CP2" s="40" t="s">
        <v>245</v>
      </c>
      <c r="CQ2" s="40" t="s">
        <v>3</v>
      </c>
      <c r="CR2" s="40" t="s">
        <v>4</v>
      </c>
      <c r="CS2" s="40" t="s">
        <v>5</v>
      </c>
      <c r="CT2" s="25"/>
      <c r="CU2" s="40" t="s">
        <v>246</v>
      </c>
      <c r="CV2" s="40" t="s">
        <v>3</v>
      </c>
      <c r="CW2" s="40" t="s">
        <v>4</v>
      </c>
      <c r="CX2" s="40" t="s">
        <v>5</v>
      </c>
      <c r="CY2" s="25"/>
      <c r="CZ2" s="40" t="s">
        <v>247</v>
      </c>
      <c r="DA2" s="40" t="s">
        <v>3</v>
      </c>
      <c r="DB2" s="40" t="s">
        <v>4</v>
      </c>
      <c r="DC2" s="40" t="s">
        <v>5</v>
      </c>
      <c r="DD2" s="25"/>
      <c r="DE2" s="40" t="s">
        <v>248</v>
      </c>
      <c r="DF2" s="40" t="s">
        <v>3</v>
      </c>
      <c r="DG2" s="40" t="s">
        <v>4</v>
      </c>
      <c r="DH2" s="40" t="s">
        <v>5</v>
      </c>
      <c r="DI2" s="25"/>
      <c r="DJ2" s="40" t="s">
        <v>104</v>
      </c>
      <c r="DK2" s="40" t="s">
        <v>3</v>
      </c>
      <c r="DL2" s="40" t="s">
        <v>4</v>
      </c>
      <c r="DM2" s="40" t="s">
        <v>5</v>
      </c>
      <c r="DN2" s="25"/>
      <c r="DO2" s="40" t="s">
        <v>106</v>
      </c>
      <c r="DP2" s="40" t="s">
        <v>3</v>
      </c>
      <c r="DQ2" s="40" t="s">
        <v>4</v>
      </c>
      <c r="DR2" s="40" t="s">
        <v>5</v>
      </c>
      <c r="DS2" s="25"/>
      <c r="DT2" s="40" t="s">
        <v>105</v>
      </c>
      <c r="DU2" s="40" t="s">
        <v>3</v>
      </c>
      <c r="DV2" s="40" t="s">
        <v>4</v>
      </c>
      <c r="DW2" s="40" t="s">
        <v>5</v>
      </c>
      <c r="DX2" s="25"/>
      <c r="DY2" s="40" t="s">
        <v>107</v>
      </c>
      <c r="DZ2" s="40" t="s">
        <v>3</v>
      </c>
      <c r="EA2" s="40" t="s">
        <v>4</v>
      </c>
      <c r="EB2" s="40" t="s">
        <v>5</v>
      </c>
      <c r="EC2" s="25"/>
      <c r="ED2" s="37" t="s">
        <v>108</v>
      </c>
      <c r="EE2" s="37" t="s">
        <v>3</v>
      </c>
      <c r="EF2" s="37" t="s">
        <v>4</v>
      </c>
      <c r="EG2" s="37" t="s">
        <v>5</v>
      </c>
      <c r="EH2" s="25"/>
      <c r="EI2" s="40" t="s">
        <v>110</v>
      </c>
      <c r="EJ2" s="40" t="s">
        <v>3</v>
      </c>
      <c r="EK2" s="40" t="s">
        <v>4</v>
      </c>
      <c r="EL2" s="40" t="s">
        <v>5</v>
      </c>
    </row>
    <row r="3" spans="2:142" ht="15.75" customHeight="1">
      <c r="B3" s="20">
        <v>1</v>
      </c>
      <c r="C3" s="21">
        <v>0</v>
      </c>
      <c r="D3" s="21">
        <v>0</v>
      </c>
      <c r="E3" s="21">
        <v>0</v>
      </c>
      <c r="F3" s="30"/>
      <c r="G3" s="20">
        <v>1</v>
      </c>
      <c r="H3" s="21">
        <v>300</v>
      </c>
      <c r="I3" s="21">
        <v>300</v>
      </c>
      <c r="J3" s="21">
        <v>400</v>
      </c>
      <c r="K3" s="20" t="s">
        <v>118</v>
      </c>
      <c r="L3" s="29"/>
      <c r="M3" s="20">
        <v>1</v>
      </c>
      <c r="N3" s="21">
        <v>180</v>
      </c>
      <c r="O3" s="21">
        <v>180</v>
      </c>
      <c r="P3" s="21">
        <v>360</v>
      </c>
      <c r="Q3" s="20" t="s">
        <v>119</v>
      </c>
      <c r="R3" s="26"/>
      <c r="S3" s="20">
        <v>1</v>
      </c>
      <c r="T3" s="21">
        <v>360</v>
      </c>
      <c r="U3" s="21">
        <v>360</v>
      </c>
      <c r="V3" s="21"/>
      <c r="W3" s="20" t="s">
        <v>121</v>
      </c>
      <c r="X3" s="26"/>
      <c r="Y3" s="20">
        <v>1</v>
      </c>
      <c r="Z3" s="21"/>
      <c r="AA3" s="21">
        <v>360</v>
      </c>
      <c r="AB3" s="21">
        <v>360</v>
      </c>
      <c r="AC3" s="20" t="s">
        <v>131</v>
      </c>
      <c r="AD3" s="26"/>
      <c r="AE3" s="20">
        <v>1</v>
      </c>
      <c r="AF3" s="21">
        <v>360</v>
      </c>
      <c r="AG3" s="21"/>
      <c r="AH3" s="21">
        <v>360</v>
      </c>
      <c r="AI3" s="20" t="s">
        <v>141</v>
      </c>
      <c r="AJ3" s="26"/>
      <c r="AK3" s="20">
        <v>1</v>
      </c>
      <c r="AL3" s="21">
        <v>500</v>
      </c>
      <c r="AM3" s="21">
        <v>500</v>
      </c>
      <c r="AN3" s="21">
        <v>1000</v>
      </c>
      <c r="AO3" s="26"/>
      <c r="AP3" s="20">
        <v>1</v>
      </c>
      <c r="AQ3" s="21">
        <v>500</v>
      </c>
      <c r="AR3" s="21">
        <v>500</v>
      </c>
      <c r="AS3" s="21">
        <v>500</v>
      </c>
      <c r="AT3" s="20" t="s">
        <v>152</v>
      </c>
      <c r="AU3" s="26"/>
      <c r="AV3" s="20">
        <v>1</v>
      </c>
      <c r="AW3" s="18">
        <v>20000</v>
      </c>
      <c r="AX3" s="18">
        <v>20000</v>
      </c>
      <c r="AY3" s="18">
        <v>40000</v>
      </c>
      <c r="AZ3" s="20" t="s">
        <v>275</v>
      </c>
      <c r="BA3" s="26"/>
      <c r="BB3" s="20">
        <v>1</v>
      </c>
      <c r="BC3" s="21">
        <v>50000</v>
      </c>
      <c r="BD3" s="21">
        <v>50000</v>
      </c>
      <c r="BE3" s="21">
        <v>150000</v>
      </c>
      <c r="BF3" s="26"/>
      <c r="BG3" s="20">
        <v>1</v>
      </c>
      <c r="BH3" s="21">
        <v>2000</v>
      </c>
      <c r="BI3" s="21">
        <v>2000</v>
      </c>
      <c r="BJ3" s="21">
        <v>2000</v>
      </c>
      <c r="BK3" s="26"/>
      <c r="BL3" s="20">
        <v>1</v>
      </c>
      <c r="BM3" s="21">
        <v>6000</v>
      </c>
      <c r="BN3" s="21">
        <v>6000</v>
      </c>
      <c r="BO3" s="21">
        <v>8000</v>
      </c>
      <c r="BP3" s="26"/>
      <c r="BQ3" s="20">
        <v>1</v>
      </c>
      <c r="BR3" s="21">
        <v>1600</v>
      </c>
      <c r="BS3" s="21">
        <v>3200</v>
      </c>
      <c r="BT3" s="21">
        <v>3200</v>
      </c>
      <c r="BU3" s="26"/>
      <c r="BV3" s="20">
        <v>1</v>
      </c>
      <c r="BW3" s="21">
        <v>1600</v>
      </c>
      <c r="BX3" s="21">
        <v>3200</v>
      </c>
      <c r="BY3" s="21">
        <v>3200</v>
      </c>
      <c r="BZ3" s="26"/>
      <c r="CA3" s="20">
        <v>1</v>
      </c>
      <c r="CB3" s="21">
        <v>3200</v>
      </c>
      <c r="CC3" s="21">
        <v>1600</v>
      </c>
      <c r="CD3" s="21">
        <v>3200</v>
      </c>
      <c r="CE3" s="26"/>
      <c r="CF3" s="20">
        <v>1</v>
      </c>
      <c r="CG3" s="21">
        <v>3200</v>
      </c>
      <c r="CH3" s="21">
        <v>1600</v>
      </c>
      <c r="CI3" s="21">
        <v>3200</v>
      </c>
      <c r="CJ3" s="26"/>
      <c r="CK3" s="20">
        <v>1</v>
      </c>
      <c r="CL3" s="21">
        <v>40000</v>
      </c>
      <c r="CM3" s="21">
        <v>20000</v>
      </c>
      <c r="CN3" s="21">
        <v>40000</v>
      </c>
      <c r="CO3" s="26"/>
      <c r="CP3" s="20">
        <v>1</v>
      </c>
      <c r="CQ3" s="21">
        <v>20000</v>
      </c>
      <c r="CR3" s="21">
        <v>40000</v>
      </c>
      <c r="CS3" s="21">
        <v>40000</v>
      </c>
      <c r="CT3" s="26"/>
      <c r="CU3" s="20">
        <v>1</v>
      </c>
      <c r="CV3" s="21">
        <v>40000</v>
      </c>
      <c r="CW3" s="21">
        <v>20000</v>
      </c>
      <c r="CX3" s="21">
        <v>40000</v>
      </c>
      <c r="CY3" s="26"/>
      <c r="CZ3" s="20">
        <v>1</v>
      </c>
      <c r="DA3" s="21">
        <v>20000</v>
      </c>
      <c r="DB3" s="21">
        <v>40000</v>
      </c>
      <c r="DC3" s="21">
        <v>40000</v>
      </c>
      <c r="DD3" s="26"/>
      <c r="DE3" s="20">
        <v>1</v>
      </c>
      <c r="DF3" s="21">
        <v>40000</v>
      </c>
      <c r="DG3" s="21">
        <v>20000</v>
      </c>
      <c r="DH3" s="21">
        <v>40000</v>
      </c>
      <c r="DI3" s="26"/>
      <c r="DJ3" s="20">
        <v>1</v>
      </c>
      <c r="DK3" s="21">
        <v>16000</v>
      </c>
      <c r="DL3" s="21">
        <v>32000</v>
      </c>
      <c r="DM3" s="21">
        <v>32000</v>
      </c>
      <c r="DN3" s="26"/>
      <c r="DO3" s="20">
        <v>1</v>
      </c>
      <c r="DP3" s="21">
        <v>32000</v>
      </c>
      <c r="DQ3" s="21">
        <v>16000</v>
      </c>
      <c r="DR3" s="21">
        <v>32000</v>
      </c>
      <c r="DS3" s="26"/>
      <c r="DT3" s="20">
        <v>1</v>
      </c>
      <c r="DU3" s="21">
        <v>60000</v>
      </c>
      <c r="DV3" s="21">
        <v>60000</v>
      </c>
      <c r="DW3" s="21">
        <v>80000</v>
      </c>
      <c r="DX3" s="26"/>
      <c r="DY3" s="20">
        <v>1</v>
      </c>
      <c r="DZ3" s="21">
        <v>30000</v>
      </c>
      <c r="EA3" s="21">
        <v>30000</v>
      </c>
      <c r="EB3" s="21">
        <v>90000</v>
      </c>
      <c r="EC3" s="26"/>
      <c r="ED3" s="20">
        <v>1</v>
      </c>
      <c r="EE3" s="21"/>
      <c r="EF3" s="21"/>
      <c r="EG3" s="21"/>
      <c r="EH3" s="26"/>
      <c r="EI3" s="20">
        <v>1</v>
      </c>
      <c r="EJ3" s="21">
        <v>6000</v>
      </c>
      <c r="EK3" s="21">
        <v>6000</v>
      </c>
      <c r="EL3" s="21">
        <v>8000</v>
      </c>
    </row>
    <row r="4" spans="2:142" ht="15.75" customHeight="1">
      <c r="B4" s="20">
        <v>2</v>
      </c>
      <c r="C4" s="21">
        <v>240</v>
      </c>
      <c r="D4" s="21">
        <v>240</v>
      </c>
      <c r="E4" s="21">
        <v>720</v>
      </c>
      <c r="F4" s="30"/>
      <c r="G4" s="20">
        <v>2</v>
      </c>
      <c r="H4" s="21">
        <v>600</v>
      </c>
      <c r="I4" s="21">
        <v>600</v>
      </c>
      <c r="J4" s="21">
        <v>800</v>
      </c>
      <c r="K4" s="20" t="s">
        <v>151</v>
      </c>
      <c r="L4" s="29"/>
      <c r="M4" s="20">
        <v>2</v>
      </c>
      <c r="N4" s="21">
        <v>360</v>
      </c>
      <c r="O4" s="21">
        <v>360</v>
      </c>
      <c r="P4" s="21">
        <v>720</v>
      </c>
      <c r="Q4" s="20" t="s">
        <v>169</v>
      </c>
      <c r="R4" s="26"/>
      <c r="S4" s="20">
        <v>2</v>
      </c>
      <c r="T4" s="21">
        <v>720</v>
      </c>
      <c r="U4" s="21">
        <v>720</v>
      </c>
      <c r="V4" s="21"/>
      <c r="W4" s="20" t="s">
        <v>173</v>
      </c>
      <c r="X4" s="26"/>
      <c r="Y4" s="20">
        <v>2</v>
      </c>
      <c r="Z4" s="21"/>
      <c r="AA4" s="21">
        <v>720</v>
      </c>
      <c r="AB4" s="21">
        <v>720</v>
      </c>
      <c r="AC4" s="20" t="s">
        <v>174</v>
      </c>
      <c r="AD4" s="26"/>
      <c r="AE4" s="20">
        <v>2</v>
      </c>
      <c r="AF4" s="21">
        <v>720</v>
      </c>
      <c r="AG4" s="21"/>
      <c r="AH4" s="21">
        <v>720</v>
      </c>
      <c r="AI4" s="20" t="s">
        <v>175</v>
      </c>
      <c r="AJ4" s="26"/>
      <c r="AK4" s="20">
        <v>2</v>
      </c>
      <c r="AL4" s="21">
        <v>500</v>
      </c>
      <c r="AM4" s="21">
        <v>500</v>
      </c>
      <c r="AN4" s="21">
        <v>1000</v>
      </c>
      <c r="AO4" s="26"/>
      <c r="AP4" s="20">
        <v>2</v>
      </c>
      <c r="AQ4" s="21">
        <v>1000</v>
      </c>
      <c r="AR4" s="21">
        <v>1000</v>
      </c>
      <c r="AS4" s="21">
        <v>1000</v>
      </c>
      <c r="AT4" s="20" t="s">
        <v>269</v>
      </c>
      <c r="AU4" s="26"/>
      <c r="AV4" s="20">
        <v>2</v>
      </c>
      <c r="AW4" s="18">
        <v>22500</v>
      </c>
      <c r="AX4" s="18">
        <v>22500</v>
      </c>
      <c r="AY4" s="18">
        <v>45000</v>
      </c>
      <c r="AZ4" s="20" t="s">
        <v>276</v>
      </c>
      <c r="BA4" s="26"/>
      <c r="BB4" s="20">
        <v>2</v>
      </c>
      <c r="BC4" s="21">
        <v>100000</v>
      </c>
      <c r="BD4" s="21">
        <v>100000</v>
      </c>
      <c r="BE4" s="21">
        <v>300000</v>
      </c>
      <c r="BF4" s="26"/>
      <c r="BG4" s="20">
        <v>2</v>
      </c>
      <c r="BH4" s="21">
        <v>7500</v>
      </c>
      <c r="BI4" s="21">
        <v>7500</v>
      </c>
      <c r="BJ4" s="21">
        <v>7500</v>
      </c>
      <c r="BK4" s="26"/>
      <c r="BL4" s="20">
        <v>2</v>
      </c>
      <c r="BM4" s="21">
        <v>12000</v>
      </c>
      <c r="BN4" s="21">
        <v>12000</v>
      </c>
      <c r="BO4" s="21">
        <v>16000</v>
      </c>
      <c r="BP4" s="26"/>
      <c r="BQ4" s="20">
        <v>2</v>
      </c>
      <c r="BR4" s="21">
        <v>2000</v>
      </c>
      <c r="BS4" s="21">
        <v>4000</v>
      </c>
      <c r="BT4" s="21">
        <v>4000</v>
      </c>
      <c r="BU4" s="26"/>
      <c r="BV4" s="20">
        <v>2</v>
      </c>
      <c r="BW4" s="21">
        <v>2000</v>
      </c>
      <c r="BX4" s="21">
        <v>4000</v>
      </c>
      <c r="BY4" s="21">
        <v>4000</v>
      </c>
      <c r="BZ4" s="26"/>
      <c r="CA4" s="20">
        <v>2</v>
      </c>
      <c r="CB4" s="21">
        <v>4000</v>
      </c>
      <c r="CC4" s="21">
        <v>2000</v>
      </c>
      <c r="CD4" s="21">
        <v>4000</v>
      </c>
      <c r="CE4" s="26"/>
      <c r="CF4" s="20">
        <v>2</v>
      </c>
      <c r="CG4" s="21">
        <v>4000</v>
      </c>
      <c r="CH4" s="21">
        <v>2000</v>
      </c>
      <c r="CI4" s="21">
        <v>4000</v>
      </c>
      <c r="CJ4" s="26"/>
      <c r="CK4" s="20">
        <v>2</v>
      </c>
      <c r="CL4" s="21">
        <v>60000</v>
      </c>
      <c r="CM4" s="21">
        <v>30000</v>
      </c>
      <c r="CN4" s="21">
        <v>60000</v>
      </c>
      <c r="CO4" s="26"/>
      <c r="CP4" s="20">
        <v>2</v>
      </c>
      <c r="CQ4" s="21">
        <v>30000</v>
      </c>
      <c r="CR4" s="21">
        <v>60000</v>
      </c>
      <c r="CS4" s="21">
        <v>60000</v>
      </c>
      <c r="CT4" s="26"/>
      <c r="CU4" s="20">
        <v>2</v>
      </c>
      <c r="CV4" s="21">
        <v>60000</v>
      </c>
      <c r="CW4" s="21">
        <v>30000</v>
      </c>
      <c r="CX4" s="21">
        <v>60000</v>
      </c>
      <c r="CY4" s="26"/>
      <c r="CZ4" s="20">
        <v>2</v>
      </c>
      <c r="DA4" s="21">
        <v>30000</v>
      </c>
      <c r="DB4" s="21">
        <v>60000</v>
      </c>
      <c r="DC4" s="21">
        <v>60000</v>
      </c>
      <c r="DD4" s="26"/>
      <c r="DE4" s="20">
        <v>2</v>
      </c>
      <c r="DF4" s="21">
        <v>60000</v>
      </c>
      <c r="DG4" s="21">
        <v>30000</v>
      </c>
      <c r="DH4" s="21">
        <v>60000</v>
      </c>
      <c r="DI4" s="26"/>
      <c r="DJ4" s="20">
        <v>2</v>
      </c>
      <c r="DK4" s="21">
        <v>40000</v>
      </c>
      <c r="DL4" s="21">
        <v>80000</v>
      </c>
      <c r="DM4" s="21">
        <v>80000</v>
      </c>
      <c r="DN4" s="26"/>
      <c r="DO4" s="20">
        <v>2</v>
      </c>
      <c r="DP4" s="21">
        <v>80000</v>
      </c>
      <c r="DQ4" s="21">
        <v>40000</v>
      </c>
      <c r="DR4" s="21">
        <v>80000</v>
      </c>
      <c r="DS4" s="26"/>
      <c r="DT4" s="20">
        <v>2</v>
      </c>
      <c r="DU4" s="21">
        <v>120000</v>
      </c>
      <c r="DV4" s="21">
        <v>120000</v>
      </c>
      <c r="DW4" s="21">
        <v>160000</v>
      </c>
      <c r="DX4" s="26"/>
      <c r="DY4" s="20">
        <v>2</v>
      </c>
      <c r="DZ4" s="21">
        <v>60000</v>
      </c>
      <c r="EA4" s="21">
        <v>60000</v>
      </c>
      <c r="EB4" s="21">
        <v>180000</v>
      </c>
      <c r="EC4" s="26"/>
      <c r="ED4" s="20">
        <v>2</v>
      </c>
      <c r="EE4" s="21"/>
      <c r="EF4" s="21"/>
      <c r="EG4" s="21"/>
      <c r="EH4" s="26"/>
      <c r="EI4" s="20">
        <v>2</v>
      </c>
      <c r="EJ4" s="21">
        <v>24000</v>
      </c>
      <c r="EK4" s="21">
        <v>24000</v>
      </c>
      <c r="EL4" s="21">
        <v>32000</v>
      </c>
    </row>
    <row r="5" spans="2:142" ht="15.75" customHeight="1">
      <c r="B5" s="20">
        <v>3</v>
      </c>
      <c r="C5" s="21">
        <v>6000</v>
      </c>
      <c r="D5" s="21">
        <v>6000</v>
      </c>
      <c r="E5" s="21">
        <v>1800</v>
      </c>
      <c r="F5" s="30"/>
      <c r="G5" s="20">
        <v>3</v>
      </c>
      <c r="H5" s="21">
        <v>1200</v>
      </c>
      <c r="I5" s="21">
        <v>1200</v>
      </c>
      <c r="J5" s="21">
        <v>1600</v>
      </c>
      <c r="K5" s="20" t="s">
        <v>166</v>
      </c>
      <c r="L5" s="29"/>
      <c r="M5" s="20">
        <v>3</v>
      </c>
      <c r="N5" s="21">
        <v>540</v>
      </c>
      <c r="O5" s="21">
        <v>540</v>
      </c>
      <c r="P5" s="21">
        <v>1080</v>
      </c>
      <c r="Q5" s="20" t="s">
        <v>170</v>
      </c>
      <c r="R5" s="26"/>
      <c r="S5" s="20">
        <v>3</v>
      </c>
      <c r="T5" s="21">
        <v>1080</v>
      </c>
      <c r="U5" s="21">
        <v>1080</v>
      </c>
      <c r="V5" s="21"/>
      <c r="W5" s="20" t="s">
        <v>122</v>
      </c>
      <c r="X5" s="26"/>
      <c r="Y5" s="20">
        <v>3</v>
      </c>
      <c r="Z5" s="21"/>
      <c r="AA5" s="21">
        <v>1080</v>
      </c>
      <c r="AB5" s="21">
        <v>1080</v>
      </c>
      <c r="AC5" s="20" t="s">
        <v>132</v>
      </c>
      <c r="AD5" s="26"/>
      <c r="AE5" s="20">
        <v>3</v>
      </c>
      <c r="AF5" s="21">
        <v>1080</v>
      </c>
      <c r="AG5" s="21"/>
      <c r="AH5" s="21">
        <v>1080</v>
      </c>
      <c r="AI5" s="20" t="s">
        <v>142</v>
      </c>
      <c r="AJ5" s="26"/>
      <c r="AK5" s="20">
        <v>3</v>
      </c>
      <c r="AL5" s="21">
        <v>500</v>
      </c>
      <c r="AM5" s="21">
        <v>500</v>
      </c>
      <c r="AN5" s="21">
        <v>1000</v>
      </c>
      <c r="AO5" s="26"/>
      <c r="AP5" s="20">
        <v>3</v>
      </c>
      <c r="AQ5" s="21">
        <v>1600</v>
      </c>
      <c r="AR5" s="21">
        <v>1600</v>
      </c>
      <c r="AS5" s="21">
        <v>1600</v>
      </c>
      <c r="AT5" s="20" t="s">
        <v>153</v>
      </c>
      <c r="AU5" s="26"/>
      <c r="AV5" s="20">
        <v>3</v>
      </c>
      <c r="AW5" s="18">
        <v>25000</v>
      </c>
      <c r="AX5" s="18">
        <v>25000</v>
      </c>
      <c r="AY5" s="18">
        <v>50000</v>
      </c>
      <c r="AZ5" s="20" t="s">
        <v>277</v>
      </c>
      <c r="BA5" s="26"/>
      <c r="BB5" s="20">
        <v>3</v>
      </c>
      <c r="BC5" s="21">
        <v>300000</v>
      </c>
      <c r="BD5" s="21">
        <v>300000</v>
      </c>
      <c r="BE5" s="21">
        <v>900000</v>
      </c>
      <c r="BF5" s="26"/>
      <c r="BG5" s="20">
        <v>3</v>
      </c>
      <c r="BH5" s="21">
        <v>15000</v>
      </c>
      <c r="BI5" s="21">
        <v>15000</v>
      </c>
      <c r="BJ5" s="21">
        <v>15000</v>
      </c>
      <c r="BK5" s="26"/>
      <c r="BL5" s="20">
        <v>3</v>
      </c>
      <c r="BM5" s="21">
        <v>18000</v>
      </c>
      <c r="BN5" s="21">
        <v>18000</v>
      </c>
      <c r="BO5" s="21">
        <v>24000</v>
      </c>
      <c r="BP5" s="26"/>
      <c r="BQ5" s="20">
        <v>3</v>
      </c>
      <c r="BR5" s="21">
        <v>2400</v>
      </c>
      <c r="BS5" s="21">
        <v>4800</v>
      </c>
      <c r="BT5" s="21">
        <v>4800</v>
      </c>
      <c r="BU5" s="26"/>
      <c r="BV5" s="20">
        <v>3</v>
      </c>
      <c r="BW5" s="21">
        <v>2400</v>
      </c>
      <c r="BX5" s="21">
        <v>4800</v>
      </c>
      <c r="BY5" s="21">
        <v>4800</v>
      </c>
      <c r="BZ5" s="26"/>
      <c r="CA5" s="20">
        <v>3</v>
      </c>
      <c r="CB5" s="21">
        <v>4800</v>
      </c>
      <c r="CC5" s="21">
        <v>2400</v>
      </c>
      <c r="CD5" s="21">
        <v>4800</v>
      </c>
      <c r="CE5" s="26"/>
      <c r="CF5" s="20">
        <v>3</v>
      </c>
      <c r="CG5" s="21">
        <v>4800</v>
      </c>
      <c r="CH5" s="21">
        <v>2400</v>
      </c>
      <c r="CI5" s="21">
        <v>4800</v>
      </c>
      <c r="CJ5" s="26"/>
      <c r="CK5" s="20">
        <v>3</v>
      </c>
      <c r="CL5" s="21">
        <v>88000</v>
      </c>
      <c r="CM5" s="21">
        <v>44000</v>
      </c>
      <c r="CN5" s="21">
        <v>88000</v>
      </c>
      <c r="CO5" s="26"/>
      <c r="CP5" s="20">
        <v>3</v>
      </c>
      <c r="CQ5" s="21">
        <v>44000</v>
      </c>
      <c r="CR5" s="21">
        <v>88000</v>
      </c>
      <c r="CS5" s="21">
        <v>88000</v>
      </c>
      <c r="CT5" s="26"/>
      <c r="CU5" s="20">
        <v>3</v>
      </c>
      <c r="CV5" s="21">
        <v>88000</v>
      </c>
      <c r="CW5" s="21">
        <v>44000</v>
      </c>
      <c r="CX5" s="21">
        <v>88000</v>
      </c>
      <c r="CY5" s="26"/>
      <c r="CZ5" s="20">
        <v>3</v>
      </c>
      <c r="DA5" s="21">
        <v>44000</v>
      </c>
      <c r="DB5" s="21">
        <v>88000</v>
      </c>
      <c r="DC5" s="21">
        <v>88000</v>
      </c>
      <c r="DD5" s="26"/>
      <c r="DE5" s="20">
        <v>3</v>
      </c>
      <c r="DF5" s="21">
        <v>88000</v>
      </c>
      <c r="DG5" s="21">
        <v>44000</v>
      </c>
      <c r="DH5" s="21">
        <v>88000</v>
      </c>
      <c r="DI5" s="26"/>
      <c r="DJ5" s="20">
        <v>3</v>
      </c>
      <c r="DK5" s="21">
        <v>72000</v>
      </c>
      <c r="DL5" s="21">
        <v>144000</v>
      </c>
      <c r="DM5" s="21">
        <v>144000</v>
      </c>
      <c r="DN5" s="26"/>
      <c r="DO5" s="20">
        <v>3</v>
      </c>
      <c r="DP5" s="21">
        <v>144000</v>
      </c>
      <c r="DQ5" s="21">
        <v>72000</v>
      </c>
      <c r="DR5" s="21">
        <v>144000</v>
      </c>
      <c r="DS5" s="26"/>
      <c r="DT5" s="20">
        <v>3</v>
      </c>
      <c r="DU5" s="21">
        <v>240000</v>
      </c>
      <c r="DV5" s="21">
        <v>240000</v>
      </c>
      <c r="DW5" s="21">
        <v>320000</v>
      </c>
      <c r="DX5" s="26"/>
      <c r="DY5" s="20">
        <v>3</v>
      </c>
      <c r="DZ5" s="21">
        <v>120000</v>
      </c>
      <c r="EA5" s="21">
        <v>120000</v>
      </c>
      <c r="EB5" s="21">
        <v>360000</v>
      </c>
      <c r="EC5" s="26"/>
      <c r="ED5" s="20">
        <v>3</v>
      </c>
      <c r="EE5" s="21">
        <v>720</v>
      </c>
      <c r="EF5" s="21">
        <v>720</v>
      </c>
      <c r="EG5" s="21">
        <v>960</v>
      </c>
      <c r="EH5" s="26"/>
      <c r="EI5" s="20">
        <v>3</v>
      </c>
      <c r="EJ5" s="21">
        <v>54000</v>
      </c>
      <c r="EK5" s="21">
        <v>54000</v>
      </c>
      <c r="EL5" s="21">
        <v>72000</v>
      </c>
    </row>
    <row r="6" spans="2:142" ht="15.75" customHeight="1">
      <c r="B6" s="20">
        <v>4</v>
      </c>
      <c r="C6" s="21">
        <v>16000</v>
      </c>
      <c r="D6" s="21">
        <v>16000</v>
      </c>
      <c r="E6" s="21">
        <v>48000</v>
      </c>
      <c r="F6" s="30"/>
      <c r="G6" s="20">
        <v>4</v>
      </c>
      <c r="H6" s="21">
        <v>2400</v>
      </c>
      <c r="I6" s="21">
        <v>2400</v>
      </c>
      <c r="J6" s="21">
        <v>3200</v>
      </c>
      <c r="K6" s="20" t="s">
        <v>168</v>
      </c>
      <c r="L6" s="29"/>
      <c r="M6" s="20">
        <v>4</v>
      </c>
      <c r="N6" s="21">
        <v>720</v>
      </c>
      <c r="O6" s="21">
        <v>720</v>
      </c>
      <c r="P6" s="21">
        <v>1440</v>
      </c>
      <c r="Q6" s="20" t="s">
        <v>171</v>
      </c>
      <c r="R6" s="26"/>
      <c r="S6" s="20">
        <v>4</v>
      </c>
      <c r="T6" s="21">
        <v>1440</v>
      </c>
      <c r="U6" s="21">
        <v>1440</v>
      </c>
      <c r="V6" s="21"/>
      <c r="W6" s="20" t="s">
        <v>123</v>
      </c>
      <c r="X6" s="26"/>
      <c r="Y6" s="20">
        <v>4</v>
      </c>
      <c r="Z6" s="21"/>
      <c r="AA6" s="21">
        <v>1440</v>
      </c>
      <c r="AB6" s="21">
        <v>1440</v>
      </c>
      <c r="AC6" s="20" t="s">
        <v>133</v>
      </c>
      <c r="AD6" s="26"/>
      <c r="AE6" s="20">
        <v>4</v>
      </c>
      <c r="AF6" s="21">
        <v>1440</v>
      </c>
      <c r="AG6" s="21"/>
      <c r="AH6" s="21">
        <v>1440</v>
      </c>
      <c r="AI6" s="20" t="s">
        <v>143</v>
      </c>
      <c r="AJ6" s="26"/>
      <c r="AK6" s="23"/>
      <c r="AL6" s="23"/>
      <c r="AM6" s="23"/>
      <c r="AN6" s="23"/>
      <c r="AO6" s="26"/>
      <c r="AP6" s="20">
        <v>4</v>
      </c>
      <c r="AQ6" s="21">
        <v>2100</v>
      </c>
      <c r="AR6" s="21">
        <v>2100</v>
      </c>
      <c r="AS6" s="21">
        <v>2100</v>
      </c>
      <c r="AT6" s="20" t="s">
        <v>154</v>
      </c>
      <c r="AU6" s="26"/>
      <c r="AV6" s="20">
        <v>4</v>
      </c>
      <c r="AW6" s="18">
        <v>27500</v>
      </c>
      <c r="AX6" s="18">
        <v>27500</v>
      </c>
      <c r="AY6" s="18">
        <v>55000</v>
      </c>
      <c r="AZ6" s="20" t="s">
        <v>278</v>
      </c>
      <c r="BA6" s="26"/>
      <c r="BF6" s="26"/>
      <c r="BG6" s="20">
        <v>4</v>
      </c>
      <c r="BH6" s="21">
        <v>30000</v>
      </c>
      <c r="BI6" s="21">
        <v>30000</v>
      </c>
      <c r="BJ6" s="21">
        <v>30000</v>
      </c>
      <c r="BK6" s="26"/>
      <c r="BL6" s="20">
        <v>4</v>
      </c>
      <c r="BM6" s="21">
        <v>24000</v>
      </c>
      <c r="BN6" s="21">
        <v>24000</v>
      </c>
      <c r="BO6" s="21">
        <v>32000</v>
      </c>
      <c r="BP6" s="26"/>
      <c r="BQ6" s="20">
        <v>4</v>
      </c>
      <c r="BR6" s="21">
        <v>2800</v>
      </c>
      <c r="BS6" s="21">
        <v>5600</v>
      </c>
      <c r="BT6" s="21">
        <v>5600</v>
      </c>
      <c r="BU6" s="26"/>
      <c r="BV6" s="20">
        <v>4</v>
      </c>
      <c r="BW6" s="21">
        <v>2800</v>
      </c>
      <c r="BX6" s="21">
        <v>5600</v>
      </c>
      <c r="BY6" s="21">
        <v>5600</v>
      </c>
      <c r="BZ6" s="26"/>
      <c r="CA6" s="20">
        <v>4</v>
      </c>
      <c r="CB6" s="21">
        <v>5600</v>
      </c>
      <c r="CC6" s="21">
        <v>2800</v>
      </c>
      <c r="CD6" s="21">
        <v>5600</v>
      </c>
      <c r="CE6" s="26"/>
      <c r="CF6" s="20">
        <v>4</v>
      </c>
      <c r="CG6" s="21">
        <v>5600</v>
      </c>
      <c r="CH6" s="21">
        <v>2800</v>
      </c>
      <c r="CI6" s="21">
        <v>5600</v>
      </c>
      <c r="CJ6" s="26"/>
      <c r="CK6" s="20">
        <v>4</v>
      </c>
      <c r="CL6" s="21">
        <v>112000</v>
      </c>
      <c r="CM6" s="21">
        <v>56000</v>
      </c>
      <c r="CN6" s="21">
        <v>112000</v>
      </c>
      <c r="CO6" s="26"/>
      <c r="CP6" s="20">
        <v>4</v>
      </c>
      <c r="CQ6" s="21">
        <v>56000</v>
      </c>
      <c r="CR6" s="21">
        <v>112000</v>
      </c>
      <c r="CS6" s="21">
        <v>112000</v>
      </c>
      <c r="CT6" s="26"/>
      <c r="CU6" s="20">
        <v>4</v>
      </c>
      <c r="CV6" s="21">
        <v>112000</v>
      </c>
      <c r="CW6" s="21">
        <v>56000</v>
      </c>
      <c r="CX6" s="21">
        <v>112000</v>
      </c>
      <c r="CY6" s="26"/>
      <c r="CZ6" s="20">
        <v>4</v>
      </c>
      <c r="DA6" s="21">
        <v>56000</v>
      </c>
      <c r="DB6" s="21">
        <v>112000</v>
      </c>
      <c r="DC6" s="21">
        <v>112000</v>
      </c>
      <c r="DD6" s="26"/>
      <c r="DE6" s="20">
        <v>4</v>
      </c>
      <c r="DF6" s="21">
        <v>112000</v>
      </c>
      <c r="DG6" s="21">
        <v>56000</v>
      </c>
      <c r="DH6" s="21">
        <v>112000</v>
      </c>
      <c r="DI6" s="26"/>
      <c r="DJ6" s="20">
        <v>4</v>
      </c>
      <c r="DK6" s="21">
        <v>144000</v>
      </c>
      <c r="DL6" s="21">
        <v>288000</v>
      </c>
      <c r="DM6" s="21">
        <v>288000</v>
      </c>
      <c r="DN6" s="26"/>
      <c r="DO6" s="20">
        <v>4</v>
      </c>
      <c r="DP6" s="21">
        <v>288000</v>
      </c>
      <c r="DQ6" s="21">
        <v>144000</v>
      </c>
      <c r="DR6" s="21">
        <v>288000</v>
      </c>
      <c r="DS6" s="26"/>
      <c r="DT6" s="20">
        <v>4</v>
      </c>
      <c r="DU6" s="21">
        <v>480000</v>
      </c>
      <c r="DV6" s="21">
        <v>480000</v>
      </c>
      <c r="DW6" s="21">
        <v>640000</v>
      </c>
      <c r="DX6" s="26"/>
      <c r="DY6" s="20">
        <v>4</v>
      </c>
      <c r="DZ6" s="21">
        <v>240000</v>
      </c>
      <c r="EA6" s="21">
        <v>240000</v>
      </c>
      <c r="EB6" s="21">
        <v>720000</v>
      </c>
      <c r="EC6" s="26"/>
      <c r="ED6" s="20">
        <v>4</v>
      </c>
      <c r="EE6" s="21">
        <v>24000</v>
      </c>
      <c r="EF6" s="21">
        <v>24000</v>
      </c>
      <c r="EG6" s="21">
        <v>32000</v>
      </c>
      <c r="EH6" s="26"/>
      <c r="EI6" s="20">
        <v>4</v>
      </c>
      <c r="EJ6" s="21">
        <v>144000</v>
      </c>
      <c r="EK6" s="21">
        <v>144000</v>
      </c>
      <c r="EL6" s="21">
        <v>192000</v>
      </c>
    </row>
    <row r="7" spans="2:142" ht="15.75" customHeight="1">
      <c r="B7" s="20">
        <v>5</v>
      </c>
      <c r="C7" s="21">
        <v>24000</v>
      </c>
      <c r="D7" s="21">
        <v>24000</v>
      </c>
      <c r="E7" s="21">
        <v>72000</v>
      </c>
      <c r="F7" s="30"/>
      <c r="G7" s="20">
        <v>5</v>
      </c>
      <c r="H7" s="21">
        <v>4500</v>
      </c>
      <c r="I7" s="21">
        <v>4500</v>
      </c>
      <c r="J7" s="21">
        <v>6000</v>
      </c>
      <c r="K7" s="20" t="s">
        <v>172</v>
      </c>
      <c r="L7" s="29"/>
      <c r="M7" s="20">
        <v>5</v>
      </c>
      <c r="N7" s="21">
        <v>900</v>
      </c>
      <c r="O7" s="21">
        <v>900</v>
      </c>
      <c r="P7" s="21">
        <v>1800</v>
      </c>
      <c r="Q7" s="20" t="s">
        <v>120</v>
      </c>
      <c r="R7" s="26"/>
      <c r="S7" s="20">
        <v>5</v>
      </c>
      <c r="T7" s="21">
        <v>1800</v>
      </c>
      <c r="U7" s="21">
        <v>1800</v>
      </c>
      <c r="V7" s="21"/>
      <c r="W7" s="20" t="s">
        <v>124</v>
      </c>
      <c r="X7" s="26"/>
      <c r="Y7" s="20">
        <v>5</v>
      </c>
      <c r="Z7" s="21"/>
      <c r="AA7" s="21">
        <v>1800</v>
      </c>
      <c r="AB7" s="21">
        <v>1800</v>
      </c>
      <c r="AC7" s="20" t="s">
        <v>134</v>
      </c>
      <c r="AD7" s="26"/>
      <c r="AE7" s="20">
        <v>5</v>
      </c>
      <c r="AF7" s="21">
        <v>1800</v>
      </c>
      <c r="AG7" s="21"/>
      <c r="AH7" s="21">
        <v>1800</v>
      </c>
      <c r="AI7" s="20" t="s">
        <v>144</v>
      </c>
      <c r="AJ7" s="26"/>
      <c r="AK7" s="23"/>
      <c r="AL7" s="23"/>
      <c r="AM7" s="23"/>
      <c r="AN7" s="23"/>
      <c r="AO7" s="26"/>
      <c r="AP7" s="20">
        <v>5</v>
      </c>
      <c r="AQ7" s="21">
        <v>2600</v>
      </c>
      <c r="AR7" s="21">
        <v>2600</v>
      </c>
      <c r="AS7" s="21">
        <v>2600</v>
      </c>
      <c r="AT7" s="20" t="s">
        <v>155</v>
      </c>
      <c r="AU7" s="26"/>
      <c r="AV7" s="20">
        <v>5</v>
      </c>
      <c r="AW7" s="18">
        <v>30000</v>
      </c>
      <c r="AX7" s="18">
        <v>30000</v>
      </c>
      <c r="AY7" s="18">
        <v>60000</v>
      </c>
      <c r="AZ7" s="20" t="s">
        <v>279</v>
      </c>
      <c r="BA7" s="26"/>
      <c r="BF7" s="26"/>
      <c r="BG7" s="20">
        <v>5</v>
      </c>
      <c r="BH7" s="21">
        <v>45000</v>
      </c>
      <c r="BI7" s="21">
        <v>45000</v>
      </c>
      <c r="BJ7" s="21">
        <v>45000</v>
      </c>
      <c r="BK7" s="26"/>
      <c r="BL7" s="20">
        <v>5</v>
      </c>
      <c r="BM7" s="21">
        <v>36000</v>
      </c>
      <c r="BN7" s="21">
        <v>36000</v>
      </c>
      <c r="BO7" s="21">
        <v>48000</v>
      </c>
      <c r="BP7" s="26"/>
      <c r="BQ7" s="20">
        <v>5</v>
      </c>
      <c r="BR7" s="21">
        <v>4800</v>
      </c>
      <c r="BS7" s="21">
        <v>9600</v>
      </c>
      <c r="BT7" s="21">
        <v>9600</v>
      </c>
      <c r="BU7" s="26"/>
      <c r="BV7" s="20">
        <v>5</v>
      </c>
      <c r="BW7" s="21">
        <v>4800</v>
      </c>
      <c r="BX7" s="21">
        <v>9600</v>
      </c>
      <c r="BY7" s="21">
        <v>9600</v>
      </c>
      <c r="BZ7" s="26"/>
      <c r="CA7" s="20">
        <v>5</v>
      </c>
      <c r="CB7" s="21">
        <v>9600</v>
      </c>
      <c r="CC7" s="21">
        <v>4800</v>
      </c>
      <c r="CD7" s="21">
        <v>9600</v>
      </c>
      <c r="CE7" s="26"/>
      <c r="CF7" s="20">
        <v>5</v>
      </c>
      <c r="CG7" s="21">
        <v>9600</v>
      </c>
      <c r="CH7" s="21">
        <v>4800</v>
      </c>
      <c r="CI7" s="21">
        <v>9600</v>
      </c>
      <c r="CJ7" s="26"/>
      <c r="CK7" s="20">
        <v>5</v>
      </c>
      <c r="CL7" s="21">
        <v>140000</v>
      </c>
      <c r="CM7" s="21">
        <v>70000</v>
      </c>
      <c r="CN7" s="21">
        <v>140000</v>
      </c>
      <c r="CO7" s="26"/>
      <c r="CP7" s="20">
        <v>5</v>
      </c>
      <c r="CQ7" s="21">
        <v>70000</v>
      </c>
      <c r="CR7" s="21">
        <v>140000</v>
      </c>
      <c r="CS7" s="21">
        <v>140000</v>
      </c>
      <c r="CT7" s="26"/>
      <c r="CU7" s="20">
        <v>5</v>
      </c>
      <c r="CV7" s="21">
        <v>140000</v>
      </c>
      <c r="CW7" s="21">
        <v>70000</v>
      </c>
      <c r="CX7" s="21">
        <v>140000</v>
      </c>
      <c r="CY7" s="26"/>
      <c r="CZ7" s="20">
        <v>5</v>
      </c>
      <c r="DA7" s="21">
        <v>70000</v>
      </c>
      <c r="DB7" s="21">
        <v>140000</v>
      </c>
      <c r="DC7" s="21">
        <v>140000</v>
      </c>
      <c r="DD7" s="26"/>
      <c r="DE7" s="20">
        <v>5</v>
      </c>
      <c r="DF7" s="21">
        <v>140000</v>
      </c>
      <c r="DG7" s="21">
        <v>70000</v>
      </c>
      <c r="DH7" s="21">
        <v>140000</v>
      </c>
      <c r="DI7" s="26"/>
      <c r="DJ7" s="20">
        <v>5</v>
      </c>
      <c r="DK7" s="21">
        <v>240000</v>
      </c>
      <c r="DL7" s="21">
        <v>480000</v>
      </c>
      <c r="DM7" s="21">
        <v>480000</v>
      </c>
      <c r="DN7" s="26"/>
      <c r="DO7" s="20">
        <v>5</v>
      </c>
      <c r="DP7" s="21">
        <v>480000</v>
      </c>
      <c r="DQ7" s="21">
        <v>240000</v>
      </c>
      <c r="DR7" s="21">
        <v>480000</v>
      </c>
      <c r="DS7" s="26"/>
      <c r="DT7" s="20">
        <v>5</v>
      </c>
      <c r="DU7" s="21">
        <v>960000</v>
      </c>
      <c r="DV7" s="21">
        <v>960000</v>
      </c>
      <c r="DW7" s="21">
        <v>1280000</v>
      </c>
      <c r="DX7" s="26"/>
      <c r="DY7" s="20">
        <v>5</v>
      </c>
      <c r="DZ7" s="21">
        <v>480000</v>
      </c>
      <c r="EA7" s="21">
        <v>480000</v>
      </c>
      <c r="EB7" s="21">
        <v>1440000</v>
      </c>
      <c r="EC7" s="26"/>
      <c r="ED7" s="20">
        <v>5</v>
      </c>
      <c r="EE7" s="21">
        <v>54000</v>
      </c>
      <c r="EF7" s="21">
        <v>54000</v>
      </c>
      <c r="EG7" s="21">
        <v>72000</v>
      </c>
      <c r="EH7" s="26"/>
      <c r="EI7" s="20">
        <v>5</v>
      </c>
      <c r="EJ7" s="21">
        <v>216000</v>
      </c>
      <c r="EK7" s="21">
        <v>216000</v>
      </c>
      <c r="EL7" s="21">
        <v>288000</v>
      </c>
    </row>
    <row r="8" spans="2:142" ht="15.75" customHeight="1">
      <c r="B8" s="20">
        <v>6</v>
      </c>
      <c r="C8" s="21">
        <v>48000</v>
      </c>
      <c r="D8" s="21">
        <v>48000</v>
      </c>
      <c r="E8" s="21">
        <v>144000</v>
      </c>
      <c r="F8" s="30"/>
      <c r="G8" s="20">
        <v>6</v>
      </c>
      <c r="H8" s="21">
        <v>6000</v>
      </c>
      <c r="I8" s="21">
        <v>6000</v>
      </c>
      <c r="J8" s="21">
        <v>8000</v>
      </c>
      <c r="K8" s="20" t="s">
        <v>249</v>
      </c>
      <c r="L8" s="29"/>
      <c r="M8" s="20">
        <v>6</v>
      </c>
      <c r="N8" s="21">
        <v>2160</v>
      </c>
      <c r="O8" s="21">
        <v>2160</v>
      </c>
      <c r="P8" s="21">
        <v>4320</v>
      </c>
      <c r="Q8" s="20" t="s">
        <v>176</v>
      </c>
      <c r="S8" s="20">
        <v>6</v>
      </c>
      <c r="T8" s="21">
        <v>4320</v>
      </c>
      <c r="U8" s="21">
        <v>4320</v>
      </c>
      <c r="V8" s="21"/>
      <c r="W8" s="20" t="s">
        <v>201</v>
      </c>
      <c r="Y8" s="20">
        <v>6</v>
      </c>
      <c r="Z8" s="21"/>
      <c r="AA8" s="21">
        <v>4320</v>
      </c>
      <c r="AB8" s="21">
        <v>4320</v>
      </c>
      <c r="AC8" s="20" t="s">
        <v>203</v>
      </c>
      <c r="AE8" s="20">
        <v>6</v>
      </c>
      <c r="AF8" s="21">
        <v>4320</v>
      </c>
      <c r="AG8" s="21"/>
      <c r="AH8" s="21">
        <v>4320</v>
      </c>
      <c r="AI8" s="20" t="s">
        <v>205</v>
      </c>
      <c r="AK8" s="23"/>
      <c r="AL8" s="23"/>
      <c r="AM8" s="23"/>
      <c r="AN8" s="23"/>
      <c r="AP8" s="20">
        <v>6</v>
      </c>
      <c r="AQ8" s="21">
        <v>4200</v>
      </c>
      <c r="AR8" s="21">
        <v>4200</v>
      </c>
      <c r="AS8" s="21">
        <v>4200</v>
      </c>
      <c r="AT8" s="20" t="s">
        <v>156</v>
      </c>
      <c r="AV8" s="20">
        <v>6</v>
      </c>
      <c r="AW8" s="18">
        <v>32500</v>
      </c>
      <c r="AX8" s="18">
        <v>32500</v>
      </c>
      <c r="AY8" s="18">
        <v>65000</v>
      </c>
      <c r="AZ8" s="20" t="s">
        <v>280</v>
      </c>
      <c r="BG8" s="20">
        <v>6</v>
      </c>
      <c r="BH8" s="21">
        <v>80000</v>
      </c>
      <c r="BI8" s="21">
        <v>80000</v>
      </c>
      <c r="BJ8" s="21">
        <v>80000</v>
      </c>
      <c r="BL8" s="20">
        <v>6</v>
      </c>
      <c r="BM8" s="21">
        <v>60000</v>
      </c>
      <c r="BN8" s="21">
        <v>60000</v>
      </c>
      <c r="BO8" s="21">
        <v>80000</v>
      </c>
      <c r="BQ8" s="20">
        <v>6</v>
      </c>
      <c r="BR8" s="21">
        <v>9600</v>
      </c>
      <c r="BS8" s="21">
        <v>19200</v>
      </c>
      <c r="BT8" s="21">
        <v>19200</v>
      </c>
      <c r="BV8" s="20">
        <v>6</v>
      </c>
      <c r="BW8" s="21">
        <v>9600</v>
      </c>
      <c r="BX8" s="21">
        <v>19200</v>
      </c>
      <c r="BY8" s="21">
        <v>19200</v>
      </c>
      <c r="CA8" s="20">
        <v>6</v>
      </c>
      <c r="CB8" s="21">
        <v>19200</v>
      </c>
      <c r="CC8" s="21">
        <v>9600</v>
      </c>
      <c r="CD8" s="21">
        <v>19200</v>
      </c>
      <c r="CF8" s="20">
        <v>6</v>
      </c>
      <c r="CG8" s="21">
        <v>19200</v>
      </c>
      <c r="CH8" s="21">
        <v>9600</v>
      </c>
      <c r="CI8" s="21">
        <v>19200</v>
      </c>
      <c r="CK8" s="20">
        <v>6</v>
      </c>
      <c r="CL8" s="21">
        <v>192000</v>
      </c>
      <c r="CM8" s="21">
        <v>96000</v>
      </c>
      <c r="CN8" s="21">
        <v>192000</v>
      </c>
      <c r="CP8" s="20">
        <v>6</v>
      </c>
      <c r="CQ8" s="21">
        <v>96000</v>
      </c>
      <c r="CR8" s="21">
        <v>192000</v>
      </c>
      <c r="CS8" s="21">
        <v>192000</v>
      </c>
      <c r="CU8" s="20">
        <v>6</v>
      </c>
      <c r="CV8" s="21">
        <v>192000</v>
      </c>
      <c r="CW8" s="21">
        <v>96000</v>
      </c>
      <c r="CX8" s="21">
        <v>192000</v>
      </c>
      <c r="CZ8" s="20">
        <v>6</v>
      </c>
      <c r="DA8" s="21">
        <v>96000</v>
      </c>
      <c r="DB8" s="21">
        <v>192000</v>
      </c>
      <c r="DC8" s="21">
        <v>192000</v>
      </c>
      <c r="DE8" s="20">
        <v>6</v>
      </c>
      <c r="DF8" s="21">
        <v>192000</v>
      </c>
      <c r="DG8" s="21">
        <v>96000</v>
      </c>
      <c r="DH8" s="21">
        <v>192000</v>
      </c>
      <c r="ED8" s="22"/>
      <c r="EE8" s="23"/>
      <c r="EF8" s="23"/>
      <c r="EG8" s="23"/>
    </row>
    <row r="9" spans="2:142" ht="15.75" customHeight="1">
      <c r="B9" s="20">
        <v>7</v>
      </c>
      <c r="C9" s="21">
        <v>96000</v>
      </c>
      <c r="D9" s="21">
        <v>96000</v>
      </c>
      <c r="E9" s="21">
        <v>288000</v>
      </c>
      <c r="F9" s="30"/>
      <c r="G9" s="20">
        <v>7</v>
      </c>
      <c r="H9" s="21">
        <v>9000</v>
      </c>
      <c r="I9" s="21">
        <v>9000</v>
      </c>
      <c r="J9" s="21">
        <v>12000</v>
      </c>
      <c r="K9" s="20" t="s">
        <v>250</v>
      </c>
      <c r="L9" s="29"/>
      <c r="M9" s="20">
        <v>7</v>
      </c>
      <c r="N9" s="21">
        <v>2520</v>
      </c>
      <c r="O9" s="21">
        <v>2520</v>
      </c>
      <c r="P9" s="21">
        <v>5040</v>
      </c>
      <c r="Q9" s="20" t="s">
        <v>177</v>
      </c>
      <c r="S9" s="20">
        <v>7</v>
      </c>
      <c r="T9" s="21">
        <v>5040</v>
      </c>
      <c r="U9" s="21">
        <v>5040</v>
      </c>
      <c r="V9" s="21"/>
      <c r="W9" s="20" t="s">
        <v>202</v>
      </c>
      <c r="Y9" s="20">
        <v>7</v>
      </c>
      <c r="Z9" s="21"/>
      <c r="AA9" s="21">
        <v>5040</v>
      </c>
      <c r="AB9" s="21">
        <v>5040</v>
      </c>
      <c r="AC9" s="20" t="s">
        <v>204</v>
      </c>
      <c r="AE9" s="20">
        <v>7</v>
      </c>
      <c r="AF9" s="21">
        <v>5040</v>
      </c>
      <c r="AG9" s="21"/>
      <c r="AH9" s="21">
        <v>5040</v>
      </c>
      <c r="AI9" s="20" t="s">
        <v>206</v>
      </c>
      <c r="AK9" s="23"/>
      <c r="AL9" s="23"/>
      <c r="AM9" s="23"/>
      <c r="AN9" s="23"/>
      <c r="AP9" s="20">
        <v>7</v>
      </c>
      <c r="AQ9" s="21">
        <v>5800</v>
      </c>
      <c r="AR9" s="21">
        <v>5800</v>
      </c>
      <c r="AS9" s="21">
        <v>5800</v>
      </c>
      <c r="AT9" s="20" t="s">
        <v>157</v>
      </c>
      <c r="AV9" s="20">
        <v>7</v>
      </c>
      <c r="AW9" s="18">
        <v>35000</v>
      </c>
      <c r="AX9" s="18">
        <v>35000</v>
      </c>
      <c r="AY9" s="18">
        <v>70000</v>
      </c>
      <c r="AZ9" s="20" t="s">
        <v>281</v>
      </c>
      <c r="BG9" s="20">
        <v>7</v>
      </c>
      <c r="BH9" s="21">
        <v>120000</v>
      </c>
      <c r="BI9" s="21">
        <v>120000</v>
      </c>
      <c r="BJ9" s="21">
        <v>120000</v>
      </c>
      <c r="BL9" s="20">
        <v>7</v>
      </c>
      <c r="BM9" s="21">
        <v>90000</v>
      </c>
      <c r="BN9" s="21">
        <v>90000</v>
      </c>
      <c r="BO9" s="21">
        <v>120000</v>
      </c>
      <c r="BQ9" s="20">
        <v>7</v>
      </c>
      <c r="BR9" s="21">
        <v>14400</v>
      </c>
      <c r="BS9" s="21">
        <v>28800</v>
      </c>
      <c r="BT9" s="21">
        <v>28800</v>
      </c>
      <c r="BV9" s="20">
        <v>7</v>
      </c>
      <c r="BW9" s="21">
        <v>14400</v>
      </c>
      <c r="BX9" s="21">
        <v>28800</v>
      </c>
      <c r="BY9" s="21">
        <v>28800</v>
      </c>
      <c r="CA9" s="20">
        <v>7</v>
      </c>
      <c r="CB9" s="21">
        <v>28800</v>
      </c>
      <c r="CC9" s="21">
        <v>14400</v>
      </c>
      <c r="CD9" s="21">
        <v>28800</v>
      </c>
      <c r="CF9" s="20">
        <v>7</v>
      </c>
      <c r="CG9" s="21">
        <v>28800</v>
      </c>
      <c r="CH9" s="21">
        <v>14400</v>
      </c>
      <c r="CI9" s="21">
        <v>28800</v>
      </c>
      <c r="CK9" s="20">
        <v>7</v>
      </c>
      <c r="CL9" s="21">
        <v>368000</v>
      </c>
      <c r="CM9" s="21">
        <v>184000</v>
      </c>
      <c r="CN9" s="21">
        <v>368000</v>
      </c>
      <c r="CP9" s="20">
        <v>7</v>
      </c>
      <c r="CQ9" s="21">
        <v>184000</v>
      </c>
      <c r="CR9" s="21">
        <v>368000</v>
      </c>
      <c r="CS9" s="21">
        <v>368000</v>
      </c>
      <c r="CU9" s="20">
        <v>7</v>
      </c>
      <c r="CV9" s="21">
        <v>368000</v>
      </c>
      <c r="CW9" s="21">
        <v>184000</v>
      </c>
      <c r="CX9" s="21">
        <v>368000</v>
      </c>
      <c r="CZ9" s="20">
        <v>7</v>
      </c>
      <c r="DA9" s="21">
        <v>184000</v>
      </c>
      <c r="DB9" s="21">
        <v>368000</v>
      </c>
      <c r="DC9" s="21">
        <v>368000</v>
      </c>
      <c r="DE9" s="20">
        <v>7</v>
      </c>
      <c r="DF9" s="21">
        <v>368000</v>
      </c>
      <c r="DG9" s="21">
        <v>184000</v>
      </c>
      <c r="DH9" s="21">
        <v>368000</v>
      </c>
      <c r="ED9" s="22"/>
      <c r="EE9" s="23"/>
      <c r="EF9" s="23"/>
      <c r="EG9" s="23"/>
    </row>
    <row r="10" spans="2:142" ht="15.75" customHeight="1">
      <c r="B10" s="20">
        <v>8</v>
      </c>
      <c r="C10" s="21">
        <v>192000</v>
      </c>
      <c r="D10" s="21">
        <v>192000</v>
      </c>
      <c r="E10" s="21">
        <v>576000</v>
      </c>
      <c r="F10" s="30"/>
      <c r="G10" s="20">
        <v>8</v>
      </c>
      <c r="H10" s="21">
        <v>12000</v>
      </c>
      <c r="I10" s="21">
        <v>12000</v>
      </c>
      <c r="J10" s="21">
        <v>16000</v>
      </c>
      <c r="K10" s="20"/>
      <c r="L10" s="29"/>
      <c r="M10" s="20">
        <v>8</v>
      </c>
      <c r="N10" s="21">
        <v>2880</v>
      </c>
      <c r="O10" s="21">
        <v>2880</v>
      </c>
      <c r="P10" s="21">
        <v>5760</v>
      </c>
      <c r="Q10" s="20" t="s">
        <v>178</v>
      </c>
      <c r="S10" s="20">
        <v>8</v>
      </c>
      <c r="T10" s="21">
        <v>5760</v>
      </c>
      <c r="U10" s="21">
        <v>5760</v>
      </c>
      <c r="V10" s="21"/>
      <c r="W10" s="20" t="s">
        <v>125</v>
      </c>
      <c r="Y10" s="20">
        <v>8</v>
      </c>
      <c r="Z10" s="21"/>
      <c r="AA10" s="21">
        <v>5760</v>
      </c>
      <c r="AB10" s="21">
        <v>5760</v>
      </c>
      <c r="AC10" s="20" t="s">
        <v>135</v>
      </c>
      <c r="AE10" s="20">
        <v>8</v>
      </c>
      <c r="AF10" s="21">
        <v>5760</v>
      </c>
      <c r="AG10" s="21"/>
      <c r="AH10" s="21">
        <v>5760</v>
      </c>
      <c r="AI10" s="20" t="s">
        <v>145</v>
      </c>
      <c r="AK10" s="23"/>
      <c r="AL10" s="23"/>
      <c r="AM10" s="23"/>
      <c r="AN10" s="23"/>
      <c r="AP10" s="20">
        <v>8</v>
      </c>
      <c r="AQ10" s="21">
        <v>7400</v>
      </c>
      <c r="AR10" s="21">
        <v>7400</v>
      </c>
      <c r="AS10" s="21">
        <v>7400</v>
      </c>
      <c r="AT10" s="20" t="s">
        <v>158</v>
      </c>
      <c r="AV10" s="20">
        <v>8</v>
      </c>
      <c r="AW10" s="18">
        <v>37500</v>
      </c>
      <c r="AX10" s="18">
        <v>37500</v>
      </c>
      <c r="AY10" s="18">
        <v>75000</v>
      </c>
      <c r="AZ10" s="20" t="s">
        <v>282</v>
      </c>
      <c r="BG10" s="20">
        <v>8</v>
      </c>
      <c r="BH10" s="21">
        <v>180000</v>
      </c>
      <c r="BI10" s="21">
        <v>180000</v>
      </c>
      <c r="BJ10" s="21">
        <v>180000</v>
      </c>
      <c r="BL10" s="20">
        <v>8</v>
      </c>
      <c r="BM10" s="21">
        <v>126000</v>
      </c>
      <c r="BN10" s="21">
        <v>126000</v>
      </c>
      <c r="BO10" s="21">
        <v>168000</v>
      </c>
      <c r="BQ10" s="20">
        <v>8</v>
      </c>
      <c r="BR10" s="21">
        <v>22000</v>
      </c>
      <c r="BS10" s="21">
        <v>44000</v>
      </c>
      <c r="BT10" s="21">
        <v>44000</v>
      </c>
      <c r="BV10" s="20">
        <v>8</v>
      </c>
      <c r="BW10" s="21">
        <v>22000</v>
      </c>
      <c r="BX10" s="21">
        <v>44000</v>
      </c>
      <c r="BY10" s="21">
        <v>44000</v>
      </c>
      <c r="CA10" s="20">
        <v>8</v>
      </c>
      <c r="CB10" s="21">
        <v>44000</v>
      </c>
      <c r="CC10" s="21">
        <v>22000</v>
      </c>
      <c r="CD10" s="21">
        <v>44000</v>
      </c>
      <c r="CF10" s="20">
        <v>8</v>
      </c>
      <c r="CG10" s="21">
        <v>44000</v>
      </c>
      <c r="CH10" s="21">
        <v>22000</v>
      </c>
      <c r="CI10" s="21">
        <v>44000</v>
      </c>
      <c r="CK10" s="20">
        <v>8</v>
      </c>
      <c r="CL10" s="21">
        <v>520000</v>
      </c>
      <c r="CM10" s="21">
        <v>260000</v>
      </c>
      <c r="CN10" s="21">
        <v>520000</v>
      </c>
      <c r="CP10" s="20">
        <v>8</v>
      </c>
      <c r="CQ10" s="21">
        <v>260000</v>
      </c>
      <c r="CR10" s="21">
        <v>520000</v>
      </c>
      <c r="CS10" s="21">
        <v>520000</v>
      </c>
      <c r="CU10" s="20">
        <v>8</v>
      </c>
      <c r="CV10" s="21">
        <v>520000</v>
      </c>
      <c r="CW10" s="21">
        <v>260000</v>
      </c>
      <c r="CX10" s="21">
        <v>520000</v>
      </c>
      <c r="CZ10" s="20">
        <v>8</v>
      </c>
      <c r="DA10" s="21">
        <v>260000</v>
      </c>
      <c r="DB10" s="21">
        <v>520000</v>
      </c>
      <c r="DC10" s="21">
        <v>520000</v>
      </c>
      <c r="DE10" s="20">
        <v>8</v>
      </c>
      <c r="DF10" s="21">
        <v>520000</v>
      </c>
      <c r="DG10" s="21">
        <v>260000</v>
      </c>
      <c r="DH10" s="21">
        <v>520000</v>
      </c>
      <c r="ED10" s="22"/>
      <c r="EE10" s="23"/>
      <c r="EF10" s="23"/>
      <c r="EG10" s="23"/>
    </row>
    <row r="11" spans="2:142" ht="15.75" customHeight="1">
      <c r="B11" s="20">
        <v>9</v>
      </c>
      <c r="C11" s="21">
        <v>288000</v>
      </c>
      <c r="D11" s="21">
        <v>288000</v>
      </c>
      <c r="E11" s="21">
        <v>864000</v>
      </c>
      <c r="F11" s="30"/>
      <c r="G11" s="20">
        <v>9</v>
      </c>
      <c r="H11" s="21">
        <v>15000</v>
      </c>
      <c r="I11" s="21">
        <v>15000</v>
      </c>
      <c r="J11" s="21">
        <v>20000</v>
      </c>
      <c r="K11" s="20"/>
      <c r="L11" s="29"/>
      <c r="M11" s="20">
        <v>9</v>
      </c>
      <c r="N11" s="21">
        <v>3240</v>
      </c>
      <c r="O11" s="21">
        <v>3240</v>
      </c>
      <c r="P11" s="21">
        <v>6480</v>
      </c>
      <c r="Q11" s="39" t="s">
        <v>190</v>
      </c>
      <c r="S11" s="20">
        <v>9</v>
      </c>
      <c r="T11" s="21">
        <v>6480</v>
      </c>
      <c r="U11" s="21">
        <v>6480</v>
      </c>
      <c r="V11" s="21"/>
      <c r="W11" s="20" t="s">
        <v>126</v>
      </c>
      <c r="Y11" s="20">
        <v>9</v>
      </c>
      <c r="Z11" s="21"/>
      <c r="AA11" s="21">
        <v>6480</v>
      </c>
      <c r="AB11" s="21">
        <v>6480</v>
      </c>
      <c r="AC11" s="20" t="s">
        <v>136</v>
      </c>
      <c r="AE11" s="20">
        <v>9</v>
      </c>
      <c r="AF11" s="21">
        <v>6480</v>
      </c>
      <c r="AG11" s="21"/>
      <c r="AH11" s="21">
        <v>6480</v>
      </c>
      <c r="AI11" s="20" t="s">
        <v>146</v>
      </c>
      <c r="AK11" s="23"/>
      <c r="AL11" s="23"/>
      <c r="AM11" s="23"/>
      <c r="AN11" s="23"/>
      <c r="AP11" s="20">
        <v>9</v>
      </c>
      <c r="AQ11" s="21">
        <v>9000</v>
      </c>
      <c r="AR11" s="21">
        <v>9000</v>
      </c>
      <c r="AS11" s="21">
        <v>9000</v>
      </c>
      <c r="AT11" s="20" t="s">
        <v>159</v>
      </c>
      <c r="AV11" s="20">
        <v>9</v>
      </c>
      <c r="AW11" s="18">
        <v>42500</v>
      </c>
      <c r="AX11" s="18">
        <v>42500</v>
      </c>
      <c r="AY11" s="18">
        <v>85000</v>
      </c>
      <c r="AZ11" s="20" t="s">
        <v>283</v>
      </c>
      <c r="BG11" s="20">
        <v>9</v>
      </c>
      <c r="BH11" s="21">
        <v>270000</v>
      </c>
      <c r="BI11" s="21">
        <v>270000</v>
      </c>
      <c r="BJ11" s="21">
        <v>270000</v>
      </c>
      <c r="BL11" s="20">
        <v>9</v>
      </c>
      <c r="BM11" s="21">
        <v>192000</v>
      </c>
      <c r="BN11" s="21">
        <v>192000</v>
      </c>
      <c r="BO11" s="21">
        <v>256000</v>
      </c>
      <c r="BQ11" s="20">
        <v>9</v>
      </c>
      <c r="BR11" s="21">
        <v>44000</v>
      </c>
      <c r="BS11" s="21">
        <v>88000</v>
      </c>
      <c r="BT11" s="21">
        <v>88000</v>
      </c>
      <c r="BV11" s="20">
        <v>9</v>
      </c>
      <c r="BW11" s="21">
        <v>44000</v>
      </c>
      <c r="BX11" s="21">
        <v>88000</v>
      </c>
      <c r="BY11" s="21">
        <v>88000</v>
      </c>
      <c r="CA11" s="20">
        <v>9</v>
      </c>
      <c r="CB11" s="21">
        <v>88000</v>
      </c>
      <c r="CC11" s="21">
        <v>44000</v>
      </c>
      <c r="CD11" s="21">
        <v>88000</v>
      </c>
      <c r="CF11" s="20">
        <v>9</v>
      </c>
      <c r="CG11" s="21">
        <v>88000</v>
      </c>
      <c r="CH11" s="21">
        <v>44000</v>
      </c>
      <c r="CI11" s="21">
        <v>88000</v>
      </c>
      <c r="CK11" s="20">
        <v>9</v>
      </c>
      <c r="CL11" s="21">
        <v>840000</v>
      </c>
      <c r="CM11" s="21">
        <v>420000</v>
      </c>
      <c r="CN11" s="21">
        <v>840000</v>
      </c>
      <c r="CP11" s="20">
        <v>9</v>
      </c>
      <c r="CQ11" s="21">
        <v>420000</v>
      </c>
      <c r="CR11" s="21">
        <v>840000</v>
      </c>
      <c r="CS11" s="21">
        <v>840000</v>
      </c>
      <c r="CU11" s="20">
        <v>9</v>
      </c>
      <c r="CV11" s="21">
        <v>840000</v>
      </c>
      <c r="CW11" s="21">
        <v>420000</v>
      </c>
      <c r="CX11" s="21">
        <v>840000</v>
      </c>
      <c r="CZ11" s="20">
        <v>9</v>
      </c>
      <c r="DA11" s="21">
        <v>420000</v>
      </c>
      <c r="DB11" s="21">
        <v>840000</v>
      </c>
      <c r="DC11" s="21">
        <v>840000</v>
      </c>
      <c r="DE11" s="20">
        <v>9</v>
      </c>
      <c r="DF11" s="21">
        <v>840000</v>
      </c>
      <c r="DG11" s="21">
        <v>420000</v>
      </c>
      <c r="DH11" s="21">
        <v>840000</v>
      </c>
      <c r="ED11" s="22"/>
      <c r="EE11" s="23"/>
      <c r="EF11" s="23"/>
      <c r="EG11" s="23"/>
    </row>
    <row r="12" spans="2:142" ht="15.75" customHeight="1">
      <c r="B12" s="20">
        <v>10</v>
      </c>
      <c r="C12" s="21">
        <v>432000</v>
      </c>
      <c r="D12" s="21">
        <v>432000</v>
      </c>
      <c r="E12" s="21">
        <v>1296000</v>
      </c>
      <c r="F12" s="30"/>
      <c r="G12" s="20">
        <v>10</v>
      </c>
      <c r="H12" s="21">
        <v>36000</v>
      </c>
      <c r="I12" s="21">
        <v>36000</v>
      </c>
      <c r="J12" s="21">
        <v>48000</v>
      </c>
      <c r="K12" s="20"/>
      <c r="L12" s="29"/>
      <c r="M12" s="20">
        <v>10</v>
      </c>
      <c r="N12" s="21">
        <v>3600</v>
      </c>
      <c r="O12" s="21">
        <v>3600</v>
      </c>
      <c r="P12" s="21">
        <v>7200</v>
      </c>
      <c r="Q12" s="39" t="s">
        <v>191</v>
      </c>
      <c r="S12" s="20">
        <v>10</v>
      </c>
      <c r="T12" s="21">
        <v>7200</v>
      </c>
      <c r="U12" s="21">
        <v>7200</v>
      </c>
      <c r="V12" s="21"/>
      <c r="W12" s="20" t="s">
        <v>127</v>
      </c>
      <c r="Y12" s="20">
        <v>10</v>
      </c>
      <c r="Z12" s="21"/>
      <c r="AA12" s="21">
        <v>7200</v>
      </c>
      <c r="AB12" s="21">
        <v>7200</v>
      </c>
      <c r="AC12" s="20" t="s">
        <v>137</v>
      </c>
      <c r="AE12" s="20">
        <v>10</v>
      </c>
      <c r="AF12" s="21">
        <v>7200</v>
      </c>
      <c r="AG12" s="21"/>
      <c r="AH12" s="21">
        <v>7200</v>
      </c>
      <c r="AI12" s="20" t="s">
        <v>147</v>
      </c>
      <c r="AK12" s="23"/>
      <c r="AL12" s="23"/>
      <c r="AM12" s="23"/>
      <c r="AN12" s="23"/>
      <c r="AP12" s="20">
        <v>10</v>
      </c>
      <c r="AQ12" s="21">
        <v>10000</v>
      </c>
      <c r="AR12" s="21">
        <v>10000</v>
      </c>
      <c r="AS12" s="21">
        <v>10000</v>
      </c>
      <c r="AT12" s="20" t="s">
        <v>160</v>
      </c>
      <c r="AV12" s="20">
        <v>10</v>
      </c>
      <c r="AW12" s="18">
        <v>47500</v>
      </c>
      <c r="AX12" s="18">
        <v>47500</v>
      </c>
      <c r="AY12" s="18">
        <v>95000</v>
      </c>
      <c r="AZ12" s="20" t="s">
        <v>284</v>
      </c>
      <c r="BG12" s="20">
        <v>10</v>
      </c>
      <c r="BH12" s="21">
        <v>390000</v>
      </c>
      <c r="BI12" s="21">
        <v>390000</v>
      </c>
      <c r="BJ12" s="21">
        <v>390000</v>
      </c>
      <c r="BL12" s="20">
        <v>10</v>
      </c>
      <c r="BM12" s="21">
        <v>252000</v>
      </c>
      <c r="BN12" s="21">
        <v>252000</v>
      </c>
      <c r="BO12" s="21">
        <v>336000</v>
      </c>
      <c r="BQ12" s="20">
        <v>10</v>
      </c>
      <c r="BR12" s="21">
        <v>88000</v>
      </c>
      <c r="BS12" s="21">
        <v>176000</v>
      </c>
      <c r="BT12" s="21">
        <v>176000</v>
      </c>
      <c r="BV12" s="20">
        <v>10</v>
      </c>
      <c r="BW12" s="21">
        <v>88000</v>
      </c>
      <c r="BX12" s="21">
        <v>176000</v>
      </c>
      <c r="BY12" s="21">
        <v>176000</v>
      </c>
      <c r="CA12" s="20">
        <v>10</v>
      </c>
      <c r="CB12" s="21">
        <v>176000</v>
      </c>
      <c r="CC12" s="21">
        <v>88000</v>
      </c>
      <c r="CD12" s="21">
        <v>176000</v>
      </c>
      <c r="CF12" s="20">
        <v>10</v>
      </c>
      <c r="CG12" s="21">
        <v>176000</v>
      </c>
      <c r="CH12" s="21">
        <v>88000</v>
      </c>
      <c r="CI12" s="21">
        <v>176000</v>
      </c>
      <c r="CK12" s="20">
        <v>10</v>
      </c>
      <c r="CL12" s="21">
        <v>1200000</v>
      </c>
      <c r="CM12" s="21">
        <v>600000</v>
      </c>
      <c r="CN12" s="21">
        <v>1200000</v>
      </c>
      <c r="CP12" s="20">
        <v>10</v>
      </c>
      <c r="CQ12" s="21">
        <v>600000</v>
      </c>
      <c r="CR12" s="21">
        <v>1200000</v>
      </c>
      <c r="CS12" s="21">
        <v>1200000</v>
      </c>
      <c r="CU12" s="20">
        <v>10</v>
      </c>
      <c r="CV12" s="21">
        <v>1200000</v>
      </c>
      <c r="CW12" s="21">
        <v>600000</v>
      </c>
      <c r="CX12" s="21">
        <v>1200000</v>
      </c>
      <c r="CZ12" s="20">
        <v>10</v>
      </c>
      <c r="DA12" s="21">
        <v>600000</v>
      </c>
      <c r="DB12" s="21">
        <v>1200000</v>
      </c>
      <c r="DC12" s="21">
        <v>1200000</v>
      </c>
      <c r="DE12" s="20">
        <v>10</v>
      </c>
      <c r="DF12" s="21">
        <v>1200000</v>
      </c>
      <c r="DG12" s="21">
        <v>600000</v>
      </c>
      <c r="DH12" s="21">
        <v>1200000</v>
      </c>
      <c r="ED12" s="22"/>
      <c r="EE12" s="23"/>
      <c r="EF12" s="23"/>
      <c r="EG12" s="23"/>
    </row>
    <row r="13" spans="2:142" ht="15.75" customHeight="1">
      <c r="B13" s="22"/>
      <c r="C13" s="22"/>
      <c r="D13" s="22"/>
      <c r="E13" s="22"/>
      <c r="F13" s="30"/>
      <c r="G13" s="20">
        <v>11</v>
      </c>
      <c r="H13" s="21">
        <v>45000</v>
      </c>
      <c r="I13" s="21">
        <v>45000</v>
      </c>
      <c r="J13" s="21">
        <v>60000</v>
      </c>
      <c r="K13" s="20"/>
      <c r="L13" s="29"/>
      <c r="M13" s="20">
        <v>11</v>
      </c>
      <c r="N13" s="21">
        <v>9900</v>
      </c>
      <c r="O13" s="21">
        <v>9900</v>
      </c>
      <c r="P13" s="21">
        <v>19800</v>
      </c>
      <c r="Q13" s="39" t="s">
        <v>194</v>
      </c>
      <c r="S13" s="20">
        <v>11</v>
      </c>
      <c r="T13" s="21">
        <v>19800</v>
      </c>
      <c r="U13" s="21">
        <v>19800</v>
      </c>
      <c r="V13" s="21"/>
      <c r="W13" s="39" t="s">
        <v>128</v>
      </c>
      <c r="Y13" s="20">
        <v>11</v>
      </c>
      <c r="Z13" s="21"/>
      <c r="AA13" s="21">
        <v>19800</v>
      </c>
      <c r="AB13" s="21">
        <v>19800</v>
      </c>
      <c r="AC13" s="39" t="s">
        <v>138</v>
      </c>
      <c r="AE13" s="20">
        <v>11</v>
      </c>
      <c r="AF13" s="21">
        <v>19800</v>
      </c>
      <c r="AG13" s="21"/>
      <c r="AH13" s="21">
        <v>19800</v>
      </c>
      <c r="AI13" s="39" t="s">
        <v>148</v>
      </c>
      <c r="AK13" s="23"/>
      <c r="AL13" s="23"/>
      <c r="AM13" s="23"/>
      <c r="AN13" s="23"/>
      <c r="AP13" s="20">
        <v>11</v>
      </c>
      <c r="AQ13" s="21">
        <v>16000</v>
      </c>
      <c r="AR13" s="21">
        <v>16000</v>
      </c>
      <c r="AS13" s="21">
        <v>16000</v>
      </c>
      <c r="AT13" s="20" t="s">
        <v>161</v>
      </c>
      <c r="AV13" s="20">
        <v>11</v>
      </c>
      <c r="AW13" s="18">
        <v>50000</v>
      </c>
      <c r="AX13" s="18">
        <v>50000</v>
      </c>
      <c r="AY13" s="18">
        <v>100000</v>
      </c>
      <c r="AZ13" s="20" t="s">
        <v>285</v>
      </c>
      <c r="BG13" s="23"/>
      <c r="BH13" s="23"/>
      <c r="BI13" s="23"/>
      <c r="BJ13" s="23"/>
      <c r="BL13" s="23"/>
      <c r="BM13" s="23"/>
      <c r="BN13" s="23"/>
      <c r="BO13" s="23"/>
      <c r="ED13" s="22"/>
      <c r="EE13" s="23"/>
      <c r="EF13" s="23"/>
      <c r="EG13" s="23"/>
    </row>
    <row r="14" spans="2:142" ht="15.75" customHeight="1">
      <c r="F14" s="30"/>
      <c r="G14" s="20">
        <v>12</v>
      </c>
      <c r="H14" s="21">
        <v>54000</v>
      </c>
      <c r="I14" s="21">
        <v>54000</v>
      </c>
      <c r="J14" s="21">
        <v>72000</v>
      </c>
      <c r="K14" s="20"/>
      <c r="L14" s="29"/>
      <c r="M14" s="20">
        <v>12</v>
      </c>
      <c r="N14" s="21">
        <v>10800</v>
      </c>
      <c r="O14" s="21">
        <v>10800</v>
      </c>
      <c r="P14" s="21">
        <v>21600</v>
      </c>
      <c r="Q14" s="38" t="s">
        <v>195</v>
      </c>
      <c r="S14" s="20">
        <v>12</v>
      </c>
      <c r="T14" s="21">
        <v>21600</v>
      </c>
      <c r="U14" s="21">
        <v>21600</v>
      </c>
      <c r="V14" s="21"/>
      <c r="W14" s="38" t="s">
        <v>129</v>
      </c>
      <c r="Y14" s="20">
        <v>12</v>
      </c>
      <c r="Z14" s="21"/>
      <c r="AA14" s="21">
        <v>21600</v>
      </c>
      <c r="AB14" s="21">
        <v>21600</v>
      </c>
      <c r="AC14" s="38" t="s">
        <v>139</v>
      </c>
      <c r="AE14" s="20">
        <v>12</v>
      </c>
      <c r="AF14" s="21">
        <v>21600</v>
      </c>
      <c r="AG14" s="21"/>
      <c r="AH14" s="21">
        <v>21600</v>
      </c>
      <c r="AI14" s="38" t="s">
        <v>149</v>
      </c>
      <c r="AK14" s="23"/>
      <c r="AL14" s="23"/>
      <c r="AM14" s="23"/>
      <c r="AN14" s="23"/>
      <c r="AP14" s="20">
        <v>12</v>
      </c>
      <c r="AQ14" s="21">
        <v>21000</v>
      </c>
      <c r="AR14" s="21">
        <v>21000</v>
      </c>
      <c r="AS14" s="21">
        <v>21000</v>
      </c>
      <c r="AT14" s="20" t="s">
        <v>162</v>
      </c>
      <c r="AV14" s="20">
        <v>12</v>
      </c>
      <c r="AW14" s="18">
        <v>52500</v>
      </c>
      <c r="AX14" s="18">
        <v>52500</v>
      </c>
      <c r="AY14" s="18">
        <v>105000</v>
      </c>
      <c r="AZ14" s="20" t="s">
        <v>286</v>
      </c>
      <c r="BG14" s="23"/>
      <c r="BH14" s="23"/>
      <c r="BI14" s="23"/>
      <c r="BJ14" s="23"/>
      <c r="ED14" s="22"/>
      <c r="EE14" s="23"/>
      <c r="EF14" s="23"/>
      <c r="EG14" s="23"/>
    </row>
    <row r="15" spans="2:142" ht="15.75" customHeight="1">
      <c r="F15" s="30"/>
      <c r="G15" s="20">
        <v>13</v>
      </c>
      <c r="H15" s="21">
        <v>69000</v>
      </c>
      <c r="I15" s="21">
        <v>69000</v>
      </c>
      <c r="J15" s="21">
        <v>92000</v>
      </c>
      <c r="K15" s="20"/>
      <c r="L15" s="29"/>
      <c r="M15" s="20">
        <v>13</v>
      </c>
      <c r="N15" s="21">
        <v>11700</v>
      </c>
      <c r="O15" s="21">
        <v>11700</v>
      </c>
      <c r="P15" s="21">
        <v>23400</v>
      </c>
      <c r="Q15" s="38" t="s">
        <v>192</v>
      </c>
      <c r="S15" s="20">
        <v>13</v>
      </c>
      <c r="T15" s="21">
        <v>23400</v>
      </c>
      <c r="U15" s="21">
        <v>23400</v>
      </c>
      <c r="V15" s="21"/>
      <c r="W15" s="38" t="s">
        <v>130</v>
      </c>
      <c r="Y15" s="20">
        <v>13</v>
      </c>
      <c r="Z15" s="21"/>
      <c r="AA15" s="21">
        <v>23400</v>
      </c>
      <c r="AB15" s="21">
        <v>23400</v>
      </c>
      <c r="AC15" s="38" t="s">
        <v>140</v>
      </c>
      <c r="AE15" s="20">
        <v>13</v>
      </c>
      <c r="AF15" s="21">
        <v>23400</v>
      </c>
      <c r="AG15" s="21"/>
      <c r="AH15" s="21">
        <v>23400</v>
      </c>
      <c r="AI15" s="38" t="s">
        <v>150</v>
      </c>
      <c r="AK15" s="23"/>
      <c r="AL15" s="23"/>
      <c r="AM15" s="23"/>
      <c r="AN15" s="23"/>
      <c r="AP15" s="20">
        <v>13</v>
      </c>
      <c r="AQ15" s="21">
        <v>32000</v>
      </c>
      <c r="AR15" s="21">
        <v>32000</v>
      </c>
      <c r="AS15" s="21">
        <v>32000</v>
      </c>
      <c r="AT15" s="20" t="s">
        <v>163</v>
      </c>
      <c r="AV15" s="20">
        <v>13</v>
      </c>
      <c r="AW15" s="18">
        <v>60000</v>
      </c>
      <c r="AX15" s="18">
        <v>60000</v>
      </c>
      <c r="AY15" s="18">
        <v>120000</v>
      </c>
      <c r="AZ15" s="20" t="s">
        <v>287</v>
      </c>
      <c r="BG15" s="23"/>
      <c r="BH15" s="23"/>
      <c r="BI15" s="23"/>
      <c r="BJ15" s="23"/>
      <c r="ED15" s="22"/>
      <c r="EE15" s="23"/>
      <c r="EF15" s="23"/>
      <c r="EG15" s="23"/>
    </row>
    <row r="16" spans="2:142" ht="15.75" customHeight="1">
      <c r="F16" s="30"/>
      <c r="G16" s="20">
        <v>14</v>
      </c>
      <c r="H16" s="21">
        <v>84000</v>
      </c>
      <c r="I16" s="21">
        <v>84000</v>
      </c>
      <c r="J16" s="21">
        <v>112000</v>
      </c>
      <c r="K16" s="20"/>
      <c r="L16" s="29"/>
      <c r="M16" s="20">
        <v>14</v>
      </c>
      <c r="N16" s="21">
        <v>12600</v>
      </c>
      <c r="O16" s="21">
        <v>12600</v>
      </c>
      <c r="P16" s="21">
        <v>25200</v>
      </c>
      <c r="Q16" s="38" t="s">
        <v>193</v>
      </c>
      <c r="S16" s="20">
        <v>14</v>
      </c>
      <c r="T16" s="21">
        <v>25200</v>
      </c>
      <c r="U16" s="21">
        <v>25200</v>
      </c>
      <c r="V16" s="21"/>
      <c r="W16" s="38" t="s">
        <v>251</v>
      </c>
      <c r="Y16" s="20">
        <v>14</v>
      </c>
      <c r="Z16" s="21"/>
      <c r="AA16" s="21">
        <v>25200</v>
      </c>
      <c r="AB16" s="21">
        <v>25200</v>
      </c>
      <c r="AC16" s="38" t="s">
        <v>257</v>
      </c>
      <c r="AE16" s="20">
        <v>14</v>
      </c>
      <c r="AF16" s="21">
        <v>25200</v>
      </c>
      <c r="AG16" s="21"/>
      <c r="AH16" s="21">
        <v>25200</v>
      </c>
      <c r="AI16" s="38" t="s">
        <v>263</v>
      </c>
      <c r="AK16" s="23"/>
      <c r="AL16" s="23"/>
      <c r="AM16" s="23"/>
      <c r="AN16" s="23"/>
      <c r="AP16" s="20">
        <v>14</v>
      </c>
      <c r="AQ16" s="21">
        <v>42000</v>
      </c>
      <c r="AR16" s="21">
        <v>42000</v>
      </c>
      <c r="AS16" s="21">
        <v>42000</v>
      </c>
      <c r="AT16" s="20" t="s">
        <v>164</v>
      </c>
      <c r="AV16" s="20">
        <v>14</v>
      </c>
      <c r="AW16" s="18">
        <v>90000</v>
      </c>
      <c r="AX16" s="18">
        <v>90000</v>
      </c>
      <c r="AY16" s="18">
        <v>180000</v>
      </c>
      <c r="AZ16" s="20" t="s">
        <v>288</v>
      </c>
      <c r="BG16" s="23"/>
      <c r="BH16" s="23"/>
      <c r="BI16" s="23"/>
      <c r="BJ16" s="23"/>
      <c r="ED16" s="22"/>
      <c r="EE16" s="23"/>
      <c r="EF16" s="23"/>
      <c r="EG16" s="23"/>
    </row>
    <row r="17" spans="2:137" ht="15.75" customHeight="1">
      <c r="F17" s="30"/>
      <c r="G17" s="20">
        <v>15</v>
      </c>
      <c r="H17" s="21">
        <v>99000</v>
      </c>
      <c r="I17" s="21">
        <v>99000</v>
      </c>
      <c r="J17" s="21">
        <v>132000</v>
      </c>
      <c r="K17" s="20"/>
      <c r="L17" s="29"/>
      <c r="M17" s="20">
        <v>15</v>
      </c>
      <c r="N17" s="21">
        <v>13500</v>
      </c>
      <c r="O17" s="21">
        <v>13500</v>
      </c>
      <c r="P17" s="21">
        <v>27000</v>
      </c>
      <c r="Q17" s="38" t="s">
        <v>196</v>
      </c>
      <c r="S17" s="20">
        <v>15</v>
      </c>
      <c r="T17" s="21">
        <v>27000</v>
      </c>
      <c r="U17" s="21">
        <v>27000</v>
      </c>
      <c r="V17" s="21"/>
      <c r="W17" s="38" t="s">
        <v>252</v>
      </c>
      <c r="Y17" s="20">
        <v>15</v>
      </c>
      <c r="Z17" s="21"/>
      <c r="AA17" s="21">
        <v>27000</v>
      </c>
      <c r="AB17" s="21">
        <v>27000</v>
      </c>
      <c r="AC17" s="38" t="s">
        <v>258</v>
      </c>
      <c r="AE17" s="20">
        <v>15</v>
      </c>
      <c r="AF17" s="21">
        <v>27000</v>
      </c>
      <c r="AG17" s="21"/>
      <c r="AH17" s="21">
        <v>27000</v>
      </c>
      <c r="AI17" s="38" t="s">
        <v>264</v>
      </c>
      <c r="AK17" s="23"/>
      <c r="AL17" s="23"/>
      <c r="AM17" s="23"/>
      <c r="AN17" s="23"/>
      <c r="AP17" s="20">
        <v>15</v>
      </c>
      <c r="AQ17" s="21">
        <v>53000</v>
      </c>
      <c r="AR17" s="21">
        <v>53000</v>
      </c>
      <c r="AS17" s="21">
        <v>53000</v>
      </c>
      <c r="AT17" s="20" t="s">
        <v>165</v>
      </c>
      <c r="AV17" s="20">
        <v>15</v>
      </c>
      <c r="AW17" s="18">
        <v>130000</v>
      </c>
      <c r="AX17" s="18">
        <v>130000</v>
      </c>
      <c r="AY17" s="18">
        <v>260000</v>
      </c>
      <c r="AZ17" s="20" t="s">
        <v>289</v>
      </c>
      <c r="BG17" s="23"/>
      <c r="BH17" s="23"/>
      <c r="BI17" s="23"/>
      <c r="BJ17" s="23"/>
      <c r="ED17" s="22"/>
      <c r="EE17" s="23"/>
      <c r="EF17" s="23"/>
      <c r="EG17" s="23"/>
    </row>
    <row r="18" spans="2:137" ht="15.75" customHeight="1">
      <c r="F18" s="30"/>
      <c r="G18" s="20">
        <v>16</v>
      </c>
      <c r="H18" s="21">
        <v>117000</v>
      </c>
      <c r="I18" s="21">
        <v>117000</v>
      </c>
      <c r="J18" s="21">
        <v>156000</v>
      </c>
      <c r="K18" s="20"/>
      <c r="L18" s="29"/>
      <c r="M18" s="20">
        <v>16</v>
      </c>
      <c r="N18" s="21">
        <v>17280</v>
      </c>
      <c r="O18" s="21">
        <v>17280</v>
      </c>
      <c r="P18" s="21">
        <v>34560</v>
      </c>
      <c r="Q18" s="38" t="s">
        <v>197</v>
      </c>
      <c r="S18" s="20">
        <v>16</v>
      </c>
      <c r="T18" s="21">
        <v>34560</v>
      </c>
      <c r="U18" s="21">
        <v>34560</v>
      </c>
      <c r="V18" s="21"/>
      <c r="W18" s="38" t="s">
        <v>253</v>
      </c>
      <c r="Y18" s="20">
        <v>16</v>
      </c>
      <c r="Z18" s="21"/>
      <c r="AA18" s="21">
        <v>34560</v>
      </c>
      <c r="AB18" s="21">
        <v>34560</v>
      </c>
      <c r="AC18" s="38" t="s">
        <v>259</v>
      </c>
      <c r="AE18" s="20">
        <v>16</v>
      </c>
      <c r="AF18" s="21">
        <v>34560</v>
      </c>
      <c r="AG18" s="21"/>
      <c r="AH18" s="21">
        <v>34560</v>
      </c>
      <c r="AI18" s="38" t="s">
        <v>265</v>
      </c>
      <c r="AK18" s="23"/>
      <c r="AL18" s="23"/>
      <c r="AM18" s="23"/>
      <c r="AN18" s="23"/>
      <c r="AP18" s="20">
        <v>16</v>
      </c>
      <c r="AQ18" s="21">
        <v>80000</v>
      </c>
      <c r="AR18" s="21">
        <v>80000</v>
      </c>
      <c r="AS18" s="21">
        <v>80000</v>
      </c>
      <c r="AT18" s="20" t="s">
        <v>270</v>
      </c>
      <c r="AV18" s="20">
        <v>16</v>
      </c>
      <c r="AW18" s="18">
        <v>187500</v>
      </c>
      <c r="AX18" s="18">
        <v>187500</v>
      </c>
      <c r="AY18" s="18">
        <v>375000</v>
      </c>
      <c r="AZ18" s="20" t="s">
        <v>290</v>
      </c>
      <c r="BG18" s="23"/>
      <c r="BH18" s="23"/>
      <c r="BI18" s="23"/>
      <c r="BJ18" s="23"/>
      <c r="ED18" s="22"/>
      <c r="EE18" s="23"/>
      <c r="EF18" s="23"/>
      <c r="EG18" s="23"/>
    </row>
    <row r="19" spans="2:137" ht="15.75" customHeight="1">
      <c r="F19" s="30"/>
      <c r="G19" s="20">
        <v>17</v>
      </c>
      <c r="H19" s="21">
        <v>135000</v>
      </c>
      <c r="I19" s="21">
        <v>135000</v>
      </c>
      <c r="J19" s="21">
        <v>180000</v>
      </c>
      <c r="K19" s="20"/>
      <c r="L19" s="29"/>
      <c r="M19" s="20">
        <v>17</v>
      </c>
      <c r="N19" s="21">
        <v>18360</v>
      </c>
      <c r="O19" s="21">
        <v>18360</v>
      </c>
      <c r="P19" s="21">
        <v>36720</v>
      </c>
      <c r="Q19" s="38" t="s">
        <v>198</v>
      </c>
      <c r="S19" s="20">
        <v>17</v>
      </c>
      <c r="T19" s="21">
        <v>36720</v>
      </c>
      <c r="U19" s="21">
        <v>36720</v>
      </c>
      <c r="V19" s="21"/>
      <c r="W19" s="38" t="s">
        <v>254</v>
      </c>
      <c r="Y19" s="20">
        <v>17</v>
      </c>
      <c r="Z19" s="21"/>
      <c r="AA19" s="21">
        <v>36720</v>
      </c>
      <c r="AB19" s="21">
        <v>36720</v>
      </c>
      <c r="AC19" s="38" t="s">
        <v>260</v>
      </c>
      <c r="AE19" s="20">
        <v>17</v>
      </c>
      <c r="AF19" s="21">
        <v>36720</v>
      </c>
      <c r="AG19" s="21"/>
      <c r="AH19" s="21">
        <v>36720</v>
      </c>
      <c r="AI19" s="38" t="s">
        <v>266</v>
      </c>
      <c r="AK19" s="23"/>
      <c r="AL19" s="23"/>
      <c r="AM19" s="23"/>
      <c r="AN19" s="23"/>
      <c r="AP19" s="20">
        <v>17</v>
      </c>
      <c r="AQ19" s="21">
        <v>100000</v>
      </c>
      <c r="AR19" s="21">
        <v>100000</v>
      </c>
      <c r="AS19" s="21">
        <v>100000</v>
      </c>
      <c r="AT19" s="20" t="s">
        <v>271</v>
      </c>
      <c r="AV19" s="20">
        <v>17</v>
      </c>
      <c r="AW19" s="18">
        <v>245000</v>
      </c>
      <c r="AX19" s="18">
        <v>245000</v>
      </c>
      <c r="AY19" s="18">
        <v>490000</v>
      </c>
      <c r="AZ19" s="20" t="s">
        <v>291</v>
      </c>
      <c r="BG19" s="23"/>
      <c r="BH19" s="23"/>
      <c r="BI19" s="23"/>
      <c r="BJ19" s="23"/>
      <c r="ED19" s="22"/>
      <c r="EE19" s="23"/>
      <c r="EF19" s="23"/>
      <c r="EG19" s="23"/>
    </row>
    <row r="20" spans="2:137" ht="15.75" customHeight="1">
      <c r="F20" s="30"/>
      <c r="G20" s="20">
        <v>18</v>
      </c>
      <c r="H20" s="21">
        <v>165000</v>
      </c>
      <c r="I20" s="21">
        <v>165000</v>
      </c>
      <c r="J20" s="21">
        <v>220000</v>
      </c>
      <c r="K20" s="20"/>
      <c r="L20" s="29"/>
      <c r="M20" s="20">
        <v>18</v>
      </c>
      <c r="N20" s="21">
        <v>19440</v>
      </c>
      <c r="O20" s="21">
        <v>19440</v>
      </c>
      <c r="P20" s="21">
        <v>38880</v>
      </c>
      <c r="Q20" s="38" t="s">
        <v>199</v>
      </c>
      <c r="S20" s="20">
        <v>18</v>
      </c>
      <c r="T20" s="21">
        <v>38880</v>
      </c>
      <c r="U20" s="21">
        <v>38880</v>
      </c>
      <c r="V20" s="21"/>
      <c r="W20" s="38" t="s">
        <v>255</v>
      </c>
      <c r="Y20" s="20">
        <v>18</v>
      </c>
      <c r="Z20" s="21"/>
      <c r="AA20" s="21">
        <v>38880</v>
      </c>
      <c r="AB20" s="21">
        <v>38880</v>
      </c>
      <c r="AC20" s="38" t="s">
        <v>261</v>
      </c>
      <c r="AE20" s="20">
        <v>18</v>
      </c>
      <c r="AF20" s="21">
        <v>38880</v>
      </c>
      <c r="AG20" s="21"/>
      <c r="AH20" s="21">
        <v>38880</v>
      </c>
      <c r="AI20" s="38" t="s">
        <v>267</v>
      </c>
      <c r="AK20" s="23"/>
      <c r="AL20" s="23"/>
      <c r="AM20" s="23"/>
      <c r="AN20" s="23"/>
      <c r="AP20" s="20">
        <v>18</v>
      </c>
      <c r="AQ20" s="21">
        <v>160000</v>
      </c>
      <c r="AR20" s="21">
        <v>160000</v>
      </c>
      <c r="AS20" s="21">
        <v>160000</v>
      </c>
      <c r="AT20" s="20" t="s">
        <v>272</v>
      </c>
      <c r="AV20" s="20">
        <v>18</v>
      </c>
      <c r="AW20" s="18">
        <v>290000</v>
      </c>
      <c r="AX20" s="18">
        <v>290000</v>
      </c>
      <c r="AY20" s="18">
        <v>580000</v>
      </c>
      <c r="AZ20" s="20" t="s">
        <v>292</v>
      </c>
      <c r="BG20" s="23"/>
      <c r="BH20" s="23"/>
      <c r="BI20" s="23"/>
      <c r="BJ20" s="23"/>
      <c r="ED20" s="22"/>
      <c r="EE20" s="23"/>
      <c r="EF20" s="23"/>
      <c r="EG20" s="23"/>
    </row>
    <row r="21" spans="2:137" ht="15.75" customHeight="1">
      <c r="F21" s="30"/>
      <c r="G21" s="20">
        <v>19</v>
      </c>
      <c r="H21" s="21">
        <v>210000</v>
      </c>
      <c r="I21" s="21">
        <v>210000</v>
      </c>
      <c r="J21" s="21">
        <v>280000</v>
      </c>
      <c r="K21" s="20"/>
      <c r="L21" s="29"/>
      <c r="M21" s="20">
        <v>19</v>
      </c>
      <c r="N21" s="21">
        <v>20520</v>
      </c>
      <c r="O21" s="21">
        <v>20520</v>
      </c>
      <c r="P21" s="21">
        <v>41040</v>
      </c>
      <c r="Q21" s="38" t="s">
        <v>200</v>
      </c>
      <c r="S21" s="20">
        <v>19</v>
      </c>
      <c r="T21" s="21">
        <v>41040</v>
      </c>
      <c r="U21" s="21">
        <v>41040</v>
      </c>
      <c r="V21" s="21"/>
      <c r="W21" s="38" t="s">
        <v>256</v>
      </c>
      <c r="Y21" s="20">
        <v>19</v>
      </c>
      <c r="Z21" s="21"/>
      <c r="AA21" s="21">
        <v>41040</v>
      </c>
      <c r="AB21" s="21">
        <v>41040</v>
      </c>
      <c r="AC21" s="38" t="s">
        <v>262</v>
      </c>
      <c r="AE21" s="20">
        <v>19</v>
      </c>
      <c r="AF21" s="21">
        <v>41040</v>
      </c>
      <c r="AG21" s="21"/>
      <c r="AH21" s="21">
        <v>41040</v>
      </c>
      <c r="AI21" s="38" t="s">
        <v>268</v>
      </c>
      <c r="AK21" s="23"/>
      <c r="AL21" s="23"/>
      <c r="AM21" s="23"/>
      <c r="AN21" s="23"/>
      <c r="AP21" s="20">
        <v>19</v>
      </c>
      <c r="AQ21" s="21">
        <v>210000</v>
      </c>
      <c r="AR21" s="21">
        <v>210000</v>
      </c>
      <c r="AS21" s="21">
        <v>210000</v>
      </c>
      <c r="AT21" s="20" t="s">
        <v>273</v>
      </c>
      <c r="AV21" s="20">
        <v>19</v>
      </c>
      <c r="AW21" s="18">
        <v>345000</v>
      </c>
      <c r="AX21" s="18">
        <v>345000</v>
      </c>
      <c r="AY21" s="18">
        <v>690000</v>
      </c>
      <c r="AZ21" s="20" t="s">
        <v>293</v>
      </c>
      <c r="BG21" s="23"/>
      <c r="BH21" s="23"/>
      <c r="BI21" s="23"/>
      <c r="BJ21" s="23"/>
    </row>
    <row r="22" spans="2:137" ht="15.75" customHeight="1">
      <c r="F22" s="30"/>
      <c r="G22" s="20">
        <v>20</v>
      </c>
      <c r="H22" s="21">
        <v>255000</v>
      </c>
      <c r="I22" s="21">
        <v>255000</v>
      </c>
      <c r="J22" s="21">
        <v>340000</v>
      </c>
      <c r="K22" s="20" t="s">
        <v>295</v>
      </c>
      <c r="L22" s="29"/>
      <c r="M22" s="20">
        <v>20</v>
      </c>
      <c r="N22" s="21">
        <v>21600</v>
      </c>
      <c r="O22" s="21">
        <v>21600</v>
      </c>
      <c r="P22" s="21">
        <v>43200</v>
      </c>
      <c r="Q22" s="20" t="s">
        <v>189</v>
      </c>
      <c r="S22" s="20">
        <v>20</v>
      </c>
      <c r="T22" s="21">
        <v>43200</v>
      </c>
      <c r="U22" s="21">
        <v>43200</v>
      </c>
      <c r="V22" s="21"/>
      <c r="W22" s="20" t="s">
        <v>217</v>
      </c>
      <c r="Y22" s="20">
        <v>20</v>
      </c>
      <c r="Z22" s="21"/>
      <c r="AA22" s="21">
        <v>43200</v>
      </c>
      <c r="AB22" s="21">
        <v>43200</v>
      </c>
      <c r="AC22" s="20" t="s">
        <v>218</v>
      </c>
      <c r="AE22" s="20">
        <v>20</v>
      </c>
      <c r="AF22" s="21">
        <v>43200</v>
      </c>
      <c r="AG22" s="21"/>
      <c r="AH22" s="21">
        <v>43200</v>
      </c>
      <c r="AI22" s="20" t="s">
        <v>229</v>
      </c>
      <c r="AK22" s="23"/>
      <c r="AL22" s="23"/>
      <c r="AM22" s="23"/>
      <c r="AN22" s="23"/>
      <c r="AP22" s="20">
        <v>20</v>
      </c>
      <c r="AQ22" s="21">
        <v>260000</v>
      </c>
      <c r="AR22" s="21">
        <v>260000</v>
      </c>
      <c r="AS22" s="21">
        <v>260000</v>
      </c>
      <c r="AT22" s="20" t="s">
        <v>274</v>
      </c>
      <c r="AV22" s="20">
        <v>20</v>
      </c>
      <c r="AW22" s="18">
        <v>415000</v>
      </c>
      <c r="AX22" s="18">
        <v>415000</v>
      </c>
      <c r="AY22" s="18">
        <v>830000</v>
      </c>
      <c r="AZ22" s="20" t="s">
        <v>294</v>
      </c>
      <c r="BG22" s="23"/>
      <c r="BH22" s="23"/>
      <c r="BI22" s="23"/>
      <c r="BJ22" s="23"/>
    </row>
    <row r="23" spans="2:137" ht="15.75" customHeight="1">
      <c r="F23" s="30"/>
      <c r="G23" s="24"/>
      <c r="H23" s="24"/>
      <c r="I23" s="24"/>
      <c r="J23" s="24"/>
      <c r="K23" s="24"/>
      <c r="L23" s="29"/>
      <c r="M23" s="20">
        <v>21</v>
      </c>
      <c r="N23" s="21">
        <v>31680</v>
      </c>
      <c r="O23" s="21">
        <v>31680</v>
      </c>
      <c r="P23" s="21">
        <v>63360</v>
      </c>
      <c r="Q23" s="20" t="s">
        <v>188</v>
      </c>
      <c r="S23" s="20">
        <v>21</v>
      </c>
      <c r="T23" s="21">
        <v>63360</v>
      </c>
      <c r="U23" s="21">
        <v>63360</v>
      </c>
      <c r="V23" s="21"/>
      <c r="W23" s="20" t="s">
        <v>207</v>
      </c>
      <c r="Y23" s="20">
        <v>21</v>
      </c>
      <c r="Z23" s="21"/>
      <c r="AA23" s="21">
        <v>63360</v>
      </c>
      <c r="AB23" s="21">
        <v>63360</v>
      </c>
      <c r="AC23" s="20" t="s">
        <v>219</v>
      </c>
      <c r="AE23" s="20">
        <v>21</v>
      </c>
      <c r="AF23" s="21">
        <v>63360</v>
      </c>
      <c r="AG23" s="21"/>
      <c r="AH23" s="21">
        <v>63360</v>
      </c>
      <c r="AI23" s="20" t="s">
        <v>230</v>
      </c>
      <c r="AK23" s="23"/>
      <c r="AL23" s="23"/>
      <c r="AM23" s="23"/>
      <c r="AN23" s="23"/>
      <c r="AP23" s="23"/>
      <c r="AQ23" s="23"/>
      <c r="AR23" s="23"/>
      <c r="AS23" s="23"/>
      <c r="AT23" s="24"/>
      <c r="BG23" s="23"/>
      <c r="BH23" s="23"/>
      <c r="BI23" s="23"/>
      <c r="BJ23" s="23"/>
    </row>
    <row r="24" spans="2:137" ht="15.75" customHeight="1">
      <c r="F24" s="30"/>
      <c r="G24" s="24"/>
      <c r="H24" s="24"/>
      <c r="I24" s="24"/>
      <c r="J24" s="24"/>
      <c r="K24" s="24"/>
      <c r="L24" s="29"/>
      <c r="M24" s="20">
        <v>22</v>
      </c>
      <c r="N24" s="21">
        <v>34560</v>
      </c>
      <c r="O24" s="21">
        <v>34560</v>
      </c>
      <c r="P24" s="21">
        <v>69120</v>
      </c>
      <c r="Q24" s="20" t="s">
        <v>187</v>
      </c>
      <c r="S24" s="20">
        <v>22</v>
      </c>
      <c r="T24" s="21">
        <v>69120</v>
      </c>
      <c r="U24" s="21">
        <v>69120</v>
      </c>
      <c r="V24" s="21"/>
      <c r="W24" s="20" t="s">
        <v>208</v>
      </c>
      <c r="Y24" s="20">
        <v>22</v>
      </c>
      <c r="Z24" s="21"/>
      <c r="AA24" s="21">
        <v>69120</v>
      </c>
      <c r="AB24" s="21">
        <v>69120</v>
      </c>
      <c r="AC24" s="20" t="s">
        <v>220</v>
      </c>
      <c r="AE24" s="20">
        <v>22</v>
      </c>
      <c r="AF24" s="21">
        <v>69120</v>
      </c>
      <c r="AG24" s="21"/>
      <c r="AH24" s="21">
        <v>69120</v>
      </c>
      <c r="AI24" s="20" t="s">
        <v>231</v>
      </c>
      <c r="AK24" s="23"/>
      <c r="AL24" s="23"/>
      <c r="AM24" s="23"/>
      <c r="AN24" s="23"/>
      <c r="AP24" s="23"/>
      <c r="AQ24" s="23"/>
      <c r="AR24" s="23"/>
      <c r="AS24" s="23"/>
      <c r="AT24" s="24"/>
      <c r="BG24" s="23"/>
      <c r="BH24" s="23"/>
      <c r="BI24" s="23"/>
      <c r="BJ24" s="23"/>
    </row>
    <row r="25" spans="2:137" ht="15.75" customHeight="1">
      <c r="F25" s="30"/>
      <c r="G25" s="24"/>
      <c r="H25" s="24"/>
      <c r="I25" s="24"/>
      <c r="J25" s="24"/>
      <c r="K25" s="24"/>
      <c r="L25" s="29"/>
      <c r="M25" s="20">
        <v>23</v>
      </c>
      <c r="N25" s="21">
        <v>37440</v>
      </c>
      <c r="O25" s="21">
        <v>37440</v>
      </c>
      <c r="P25" s="21">
        <v>74880</v>
      </c>
      <c r="Q25" s="20" t="s">
        <v>186</v>
      </c>
      <c r="S25" s="20">
        <v>23</v>
      </c>
      <c r="T25" s="21">
        <v>74880</v>
      </c>
      <c r="U25" s="21">
        <v>74880</v>
      </c>
      <c r="V25" s="21"/>
      <c r="W25" s="20" t="s">
        <v>209</v>
      </c>
      <c r="Y25" s="20">
        <v>23</v>
      </c>
      <c r="Z25" s="21"/>
      <c r="AA25" s="21">
        <v>74880</v>
      </c>
      <c r="AB25" s="21">
        <v>74880</v>
      </c>
      <c r="AC25" s="20" t="s">
        <v>221</v>
      </c>
      <c r="AE25" s="20">
        <v>23</v>
      </c>
      <c r="AF25" s="21">
        <v>74880</v>
      </c>
      <c r="AG25" s="21"/>
      <c r="AH25" s="21">
        <v>74880</v>
      </c>
      <c r="AI25" s="20" t="s">
        <v>232</v>
      </c>
      <c r="AK25" s="23"/>
      <c r="AL25" s="23"/>
      <c r="AM25" s="23"/>
      <c r="AN25" s="23"/>
      <c r="AP25" s="23"/>
      <c r="AQ25" s="23"/>
      <c r="AR25" s="23"/>
      <c r="AS25" s="23"/>
      <c r="BG25" s="23"/>
      <c r="BH25" s="23"/>
      <c r="BI25" s="23"/>
      <c r="BJ25" s="23"/>
      <c r="BL25" s="22"/>
      <c r="BM25" s="22"/>
      <c r="BN25" s="22"/>
      <c r="BO25" s="22"/>
      <c r="CA25" s="22"/>
      <c r="CB25" s="23"/>
      <c r="CC25" s="23"/>
      <c r="CD25" s="23"/>
      <c r="CF25" s="22"/>
      <c r="CG25" s="23"/>
      <c r="CH25" s="23"/>
      <c r="CI25" s="23"/>
    </row>
    <row r="26" spans="2:137" ht="15.75" customHeight="1">
      <c r="F26" s="30"/>
      <c r="G26" s="24"/>
      <c r="H26" s="24"/>
      <c r="I26" s="24"/>
      <c r="J26" s="24"/>
      <c r="K26" s="24"/>
      <c r="L26" s="29"/>
      <c r="M26" s="20">
        <v>24</v>
      </c>
      <c r="N26" s="21">
        <v>40320</v>
      </c>
      <c r="O26" s="21">
        <v>40320</v>
      </c>
      <c r="P26" s="21">
        <v>80640</v>
      </c>
      <c r="Q26" s="20" t="s">
        <v>185</v>
      </c>
      <c r="S26" s="20">
        <v>24</v>
      </c>
      <c r="T26" s="21">
        <v>80640</v>
      </c>
      <c r="U26" s="21">
        <v>80640</v>
      </c>
      <c r="V26" s="21"/>
      <c r="W26" s="20" t="s">
        <v>210</v>
      </c>
      <c r="Y26" s="20">
        <v>24</v>
      </c>
      <c r="Z26" s="21"/>
      <c r="AA26" s="21">
        <v>80640</v>
      </c>
      <c r="AB26" s="21">
        <v>80640</v>
      </c>
      <c r="AC26" s="20" t="s">
        <v>222</v>
      </c>
      <c r="AE26" s="20">
        <v>24</v>
      </c>
      <c r="AF26" s="21">
        <v>80640</v>
      </c>
      <c r="AG26" s="21"/>
      <c r="AH26" s="21">
        <v>80640</v>
      </c>
      <c r="AI26" s="20" t="s">
        <v>233</v>
      </c>
      <c r="AK26" s="23"/>
      <c r="AL26" s="23"/>
      <c r="AM26" s="23"/>
      <c r="AN26" s="23"/>
      <c r="AP26" s="23"/>
      <c r="AQ26" s="23"/>
      <c r="AR26" s="23"/>
      <c r="AS26" s="23"/>
      <c r="AT26" s="24"/>
      <c r="BG26" s="23"/>
      <c r="BH26" s="23"/>
      <c r="BI26" s="23"/>
      <c r="BJ26" s="23"/>
      <c r="BL26" s="22"/>
      <c r="BM26" s="22"/>
      <c r="BN26" s="22"/>
      <c r="BO26" s="22"/>
      <c r="BQ26" s="22"/>
      <c r="BR26" s="23"/>
      <c r="BS26" s="23"/>
      <c r="BT26" s="23"/>
      <c r="BV26" s="22"/>
      <c r="BW26" s="23"/>
      <c r="BX26" s="23"/>
      <c r="BY26" s="23"/>
      <c r="CA26" s="22"/>
      <c r="CB26" s="23"/>
      <c r="CC26" s="23"/>
      <c r="CD26" s="23"/>
      <c r="CF26" s="22"/>
      <c r="CG26" s="23"/>
      <c r="CH26" s="23"/>
      <c r="CI26" s="23"/>
    </row>
    <row r="27" spans="2:137" ht="15.75" customHeight="1">
      <c r="B27" s="22"/>
      <c r="C27" s="22"/>
      <c r="D27" s="22"/>
      <c r="E27" s="22"/>
      <c r="F27" s="30"/>
      <c r="G27" s="24"/>
      <c r="H27" s="24"/>
      <c r="I27" s="24"/>
      <c r="J27" s="24"/>
      <c r="K27" s="24"/>
      <c r="L27" s="29"/>
      <c r="M27" s="20">
        <v>25</v>
      </c>
      <c r="N27" s="21">
        <v>43200</v>
      </c>
      <c r="O27" s="21">
        <v>43200</v>
      </c>
      <c r="P27" s="21">
        <v>86400</v>
      </c>
      <c r="Q27" s="20" t="s">
        <v>184</v>
      </c>
      <c r="S27" s="20">
        <v>25</v>
      </c>
      <c r="T27" s="21">
        <v>86400</v>
      </c>
      <c r="U27" s="21">
        <v>86400</v>
      </c>
      <c r="V27" s="21"/>
      <c r="W27" s="20" t="s">
        <v>211</v>
      </c>
      <c r="Y27" s="20">
        <v>25</v>
      </c>
      <c r="Z27" s="21"/>
      <c r="AA27" s="21">
        <v>86400</v>
      </c>
      <c r="AB27" s="21">
        <v>86400</v>
      </c>
      <c r="AC27" s="20" t="s">
        <v>223</v>
      </c>
      <c r="AE27" s="20">
        <v>25</v>
      </c>
      <c r="AF27" s="21">
        <v>86400</v>
      </c>
      <c r="AG27" s="21"/>
      <c r="AH27" s="21">
        <v>86400</v>
      </c>
      <c r="AI27" s="20" t="s">
        <v>234</v>
      </c>
      <c r="AK27" s="23"/>
      <c r="AL27" s="23"/>
      <c r="AM27" s="23"/>
      <c r="AN27" s="23"/>
      <c r="AP27" s="23"/>
      <c r="AQ27" s="23"/>
      <c r="AR27" s="23"/>
      <c r="AS27" s="23"/>
      <c r="AT27" s="24"/>
      <c r="BG27" s="23"/>
      <c r="BH27" s="23"/>
      <c r="BI27" s="23"/>
      <c r="BJ27" s="23"/>
      <c r="BL27" s="22"/>
      <c r="BM27" s="22"/>
      <c r="BN27" s="22"/>
      <c r="BO27" s="22"/>
      <c r="BQ27" s="22"/>
      <c r="BR27" s="23"/>
      <c r="BS27" s="23"/>
      <c r="BT27" s="23"/>
      <c r="BV27" s="22"/>
      <c r="BW27" s="23"/>
      <c r="BX27" s="23"/>
      <c r="BY27" s="23"/>
      <c r="CA27" s="22"/>
      <c r="CB27" s="23"/>
      <c r="CC27" s="23"/>
      <c r="CD27" s="23"/>
      <c r="CF27" s="22"/>
      <c r="CG27" s="23"/>
      <c r="CH27" s="23"/>
      <c r="CI27" s="23"/>
    </row>
    <row r="28" spans="2:137" ht="15.75" customHeight="1">
      <c r="B28" s="22"/>
      <c r="C28" s="22"/>
      <c r="D28" s="22"/>
      <c r="E28" s="22"/>
      <c r="F28" s="30"/>
      <c r="G28" s="24"/>
      <c r="H28" s="24"/>
      <c r="I28" s="24"/>
      <c r="J28" s="24"/>
      <c r="K28" s="24"/>
      <c r="L28" s="29"/>
      <c r="M28" s="20">
        <v>26</v>
      </c>
      <c r="N28" s="21">
        <v>57600</v>
      </c>
      <c r="O28" s="21">
        <v>57600</v>
      </c>
      <c r="P28" s="21">
        <v>115200</v>
      </c>
      <c r="Q28" s="20" t="s">
        <v>183</v>
      </c>
      <c r="S28" s="20">
        <v>26</v>
      </c>
      <c r="T28" s="21">
        <v>115200</v>
      </c>
      <c r="U28" s="21">
        <v>115200</v>
      </c>
      <c r="V28" s="21"/>
      <c r="W28" s="20" t="s">
        <v>212</v>
      </c>
      <c r="Y28" s="20">
        <v>26</v>
      </c>
      <c r="Z28" s="21"/>
      <c r="AA28" s="21">
        <v>115200</v>
      </c>
      <c r="AB28" s="21">
        <v>115200</v>
      </c>
      <c r="AC28" s="20" t="s">
        <v>224</v>
      </c>
      <c r="AE28" s="20">
        <v>26</v>
      </c>
      <c r="AF28" s="21">
        <v>115200</v>
      </c>
      <c r="AG28" s="21"/>
      <c r="AH28" s="21">
        <v>115200</v>
      </c>
      <c r="AI28" s="20" t="s">
        <v>235</v>
      </c>
      <c r="AK28" s="23"/>
      <c r="AL28" s="23"/>
      <c r="AM28" s="23"/>
      <c r="AN28" s="23"/>
      <c r="AP28" s="23"/>
      <c r="AQ28" s="23"/>
      <c r="AR28" s="23"/>
      <c r="AS28" s="23"/>
      <c r="AT28" s="24"/>
      <c r="BB28" s="23"/>
      <c r="BC28" s="23"/>
      <c r="BD28" s="23"/>
      <c r="BE28" s="23"/>
      <c r="BG28" s="22"/>
      <c r="BH28" s="22"/>
      <c r="BI28" s="22"/>
      <c r="BJ28" s="22"/>
      <c r="BL28" s="22"/>
      <c r="BM28" s="22"/>
      <c r="BN28" s="22"/>
      <c r="BO28" s="22"/>
      <c r="BQ28" s="22"/>
      <c r="BR28" s="23"/>
      <c r="BS28" s="23"/>
      <c r="BT28" s="23"/>
      <c r="BV28" s="22"/>
      <c r="BW28" s="23"/>
      <c r="BX28" s="23"/>
      <c r="BY28" s="23"/>
      <c r="CA28" s="22"/>
      <c r="CB28" s="23"/>
      <c r="CC28" s="23"/>
      <c r="CD28" s="23"/>
      <c r="CF28" s="22"/>
      <c r="CG28" s="23"/>
      <c r="CH28" s="23"/>
      <c r="CI28" s="23"/>
    </row>
    <row r="29" spans="2:137" ht="15.75" customHeight="1">
      <c r="B29" s="22"/>
      <c r="C29" s="22"/>
      <c r="D29" s="22"/>
      <c r="E29" s="22"/>
      <c r="F29" s="30"/>
      <c r="G29" s="24"/>
      <c r="H29" s="24"/>
      <c r="I29" s="24"/>
      <c r="J29" s="24"/>
      <c r="K29" s="24"/>
      <c r="L29" s="29"/>
      <c r="M29" s="20">
        <v>27</v>
      </c>
      <c r="N29" s="21">
        <v>61200</v>
      </c>
      <c r="O29" s="21">
        <v>61200</v>
      </c>
      <c r="P29" s="21">
        <v>122400</v>
      </c>
      <c r="Q29" s="20" t="s">
        <v>182</v>
      </c>
      <c r="S29" s="20">
        <v>27</v>
      </c>
      <c r="T29" s="21">
        <v>122400</v>
      </c>
      <c r="U29" s="21">
        <v>122400</v>
      </c>
      <c r="V29" s="21"/>
      <c r="W29" s="20" t="s">
        <v>213</v>
      </c>
      <c r="Y29" s="20">
        <v>27</v>
      </c>
      <c r="Z29" s="21"/>
      <c r="AA29" s="21">
        <v>122400</v>
      </c>
      <c r="AB29" s="21">
        <v>122400</v>
      </c>
      <c r="AC29" s="20" t="s">
        <v>225</v>
      </c>
      <c r="AE29" s="20">
        <v>27</v>
      </c>
      <c r="AF29" s="21">
        <v>122400</v>
      </c>
      <c r="AG29" s="21"/>
      <c r="AH29" s="21">
        <v>122400</v>
      </c>
      <c r="AI29" s="20" t="s">
        <v>236</v>
      </c>
      <c r="AK29" s="23"/>
      <c r="AL29" s="23"/>
      <c r="AM29" s="23"/>
      <c r="AN29" s="23"/>
      <c r="AP29" s="23"/>
      <c r="AQ29" s="23"/>
      <c r="AR29" s="23"/>
      <c r="AS29" s="23"/>
      <c r="AT29" s="24"/>
      <c r="BB29" s="23"/>
      <c r="BC29" s="23"/>
      <c r="BD29" s="23"/>
      <c r="BE29" s="23"/>
      <c r="BG29" s="22"/>
      <c r="BH29" s="22"/>
      <c r="BI29" s="22"/>
      <c r="BJ29" s="22"/>
      <c r="BL29" s="22"/>
      <c r="BM29" s="22"/>
      <c r="BN29" s="22"/>
      <c r="BO29" s="22"/>
      <c r="BQ29" s="22"/>
      <c r="BR29" s="23"/>
      <c r="BS29" s="23"/>
      <c r="BT29" s="23"/>
      <c r="BV29" s="22"/>
      <c r="BW29" s="23"/>
      <c r="BX29" s="23"/>
      <c r="BY29" s="23"/>
      <c r="CA29" s="22"/>
      <c r="CB29" s="23"/>
      <c r="CC29" s="23"/>
      <c r="CD29" s="23"/>
      <c r="CF29" s="22"/>
      <c r="CG29" s="23"/>
      <c r="CH29" s="23"/>
      <c r="CI29" s="23"/>
    </row>
    <row r="30" spans="2:137" ht="15.75" customHeight="1">
      <c r="B30" s="22"/>
      <c r="C30" s="22"/>
      <c r="D30" s="22"/>
      <c r="E30" s="22"/>
      <c r="F30" s="30"/>
      <c r="G30" s="24"/>
      <c r="H30" s="24"/>
      <c r="I30" s="24"/>
      <c r="J30" s="24"/>
      <c r="K30" s="24"/>
      <c r="L30" s="29"/>
      <c r="M30" s="20">
        <v>28</v>
      </c>
      <c r="N30" s="21">
        <v>64800</v>
      </c>
      <c r="O30" s="21">
        <v>64800</v>
      </c>
      <c r="P30" s="21">
        <v>129600</v>
      </c>
      <c r="Q30" s="20" t="s">
        <v>181</v>
      </c>
      <c r="S30" s="20">
        <v>28</v>
      </c>
      <c r="T30" s="21">
        <v>129600</v>
      </c>
      <c r="U30" s="21">
        <v>129600</v>
      </c>
      <c r="V30" s="21"/>
      <c r="W30" s="20" t="s">
        <v>214</v>
      </c>
      <c r="Y30" s="20">
        <v>28</v>
      </c>
      <c r="Z30" s="21"/>
      <c r="AA30" s="21">
        <v>129600</v>
      </c>
      <c r="AB30" s="21">
        <v>129600</v>
      </c>
      <c r="AC30" s="20" t="s">
        <v>226</v>
      </c>
      <c r="AE30" s="20">
        <v>28</v>
      </c>
      <c r="AF30" s="21">
        <v>129600</v>
      </c>
      <c r="AG30" s="21"/>
      <c r="AH30" s="21">
        <v>129600</v>
      </c>
      <c r="AI30" s="20" t="s">
        <v>237</v>
      </c>
      <c r="AK30" s="23"/>
      <c r="AL30" s="23"/>
      <c r="AM30" s="23"/>
      <c r="AN30" s="23"/>
      <c r="AP30" s="23"/>
      <c r="AQ30" s="23"/>
      <c r="AR30" s="23"/>
      <c r="AS30" s="23"/>
      <c r="AT30" s="24"/>
      <c r="BB30" s="23"/>
      <c r="BC30" s="23"/>
      <c r="BD30" s="23"/>
      <c r="BE30" s="23"/>
      <c r="BG30" s="22"/>
      <c r="BH30" s="22"/>
      <c r="BI30" s="22"/>
      <c r="BJ30" s="22"/>
      <c r="BL30" s="22"/>
      <c r="BM30" s="22"/>
      <c r="BN30" s="22"/>
      <c r="BO30" s="22"/>
      <c r="BQ30" s="22"/>
      <c r="BR30" s="23"/>
      <c r="BS30" s="23"/>
      <c r="BT30" s="23"/>
      <c r="BV30" s="22"/>
      <c r="BW30" s="23"/>
      <c r="BX30" s="23"/>
      <c r="BY30" s="23"/>
      <c r="CA30" s="22"/>
      <c r="CB30" s="23"/>
      <c r="CC30" s="23"/>
      <c r="CD30" s="23"/>
      <c r="CF30" s="22"/>
      <c r="CG30" s="23"/>
      <c r="CH30" s="23"/>
      <c r="CI30" s="23"/>
    </row>
    <row r="31" spans="2:137" ht="15.75" customHeight="1">
      <c r="G31" s="24"/>
      <c r="H31" s="24"/>
      <c r="I31" s="24"/>
      <c r="J31" s="24"/>
      <c r="K31" s="24"/>
      <c r="L31" s="28"/>
      <c r="M31" s="20">
        <v>29</v>
      </c>
      <c r="N31" s="21">
        <v>68400</v>
      </c>
      <c r="O31" s="21">
        <v>68400</v>
      </c>
      <c r="P31" s="21">
        <v>136800</v>
      </c>
      <c r="Q31" s="20" t="s">
        <v>180</v>
      </c>
      <c r="S31" s="20">
        <v>29</v>
      </c>
      <c r="T31" s="21">
        <v>136800</v>
      </c>
      <c r="U31" s="21">
        <v>136800</v>
      </c>
      <c r="V31" s="21"/>
      <c r="W31" s="20" t="s">
        <v>215</v>
      </c>
      <c r="Y31" s="20">
        <v>29</v>
      </c>
      <c r="Z31" s="21"/>
      <c r="AA31" s="21">
        <v>136800</v>
      </c>
      <c r="AB31" s="21">
        <v>136800</v>
      </c>
      <c r="AC31" s="20" t="s">
        <v>227</v>
      </c>
      <c r="AE31" s="20">
        <v>29</v>
      </c>
      <c r="AF31" s="21">
        <v>136800</v>
      </c>
      <c r="AG31" s="21"/>
      <c r="AH31" s="21">
        <v>136800</v>
      </c>
      <c r="AI31" s="20" t="s">
        <v>238</v>
      </c>
      <c r="AK31" s="17"/>
      <c r="AL31" s="17"/>
      <c r="AM31" s="17"/>
      <c r="AN31" s="17"/>
      <c r="AP31" s="17"/>
      <c r="AQ31" s="17"/>
      <c r="AR31" s="17"/>
      <c r="AS31" s="17"/>
      <c r="AT31" s="19"/>
      <c r="AV31" s="23"/>
      <c r="AW31" s="23"/>
      <c r="AX31" s="23"/>
      <c r="AY31" s="23"/>
      <c r="AZ31" s="23"/>
      <c r="BB31" s="23"/>
      <c r="BC31" s="23"/>
      <c r="BD31" s="23"/>
      <c r="BE31" s="23"/>
      <c r="BG31" s="22"/>
      <c r="BH31" s="22"/>
      <c r="BI31" s="22"/>
      <c r="BJ31" s="22"/>
      <c r="BL31" s="22"/>
      <c r="BM31" s="22"/>
      <c r="BN31" s="22"/>
      <c r="BO31" s="22"/>
      <c r="BQ31" s="22"/>
      <c r="BR31" s="23"/>
      <c r="BS31" s="23"/>
      <c r="BT31" s="23"/>
      <c r="BV31" s="22"/>
      <c r="BW31" s="23"/>
      <c r="BX31" s="23"/>
      <c r="BY31" s="23"/>
      <c r="CA31" s="22"/>
      <c r="CB31" s="23"/>
      <c r="CC31" s="23"/>
      <c r="CD31" s="23"/>
      <c r="CF31" s="22"/>
      <c r="CG31" s="23"/>
      <c r="CH31" s="23"/>
      <c r="CI31" s="23"/>
    </row>
    <row r="32" spans="2:137" ht="15.75" customHeight="1">
      <c r="G32" s="24"/>
      <c r="H32" s="24"/>
      <c r="I32" s="24"/>
      <c r="J32" s="24"/>
      <c r="K32" s="24"/>
      <c r="L32" s="26"/>
      <c r="M32" s="20">
        <v>30</v>
      </c>
      <c r="N32" s="21">
        <v>72000</v>
      </c>
      <c r="O32" s="21">
        <v>72000</v>
      </c>
      <c r="P32" s="21">
        <v>144000</v>
      </c>
      <c r="Q32" s="20" t="s">
        <v>179</v>
      </c>
      <c r="S32" s="20">
        <v>30</v>
      </c>
      <c r="T32" s="21">
        <v>144000</v>
      </c>
      <c r="U32" s="21">
        <v>144000</v>
      </c>
      <c r="V32" s="21"/>
      <c r="W32" s="20" t="s">
        <v>216</v>
      </c>
      <c r="Y32" s="20">
        <v>30</v>
      </c>
      <c r="Z32" s="21"/>
      <c r="AA32" s="21">
        <v>144000</v>
      </c>
      <c r="AB32" s="21">
        <v>144000</v>
      </c>
      <c r="AC32" s="20" t="s">
        <v>228</v>
      </c>
      <c r="AE32" s="20">
        <v>30</v>
      </c>
      <c r="AF32" s="21">
        <v>144000</v>
      </c>
      <c r="AG32" s="21"/>
      <c r="AH32" s="21">
        <v>144000</v>
      </c>
      <c r="AI32" s="20" t="s">
        <v>239</v>
      </c>
      <c r="AK32" s="17"/>
      <c r="AL32" s="17"/>
      <c r="AM32" s="17"/>
      <c r="AN32" s="17"/>
      <c r="AP32" s="17"/>
      <c r="AQ32" s="17"/>
      <c r="AR32" s="17"/>
      <c r="AS32" s="17"/>
      <c r="AT32" s="19"/>
      <c r="AV32" s="23"/>
      <c r="AW32" s="23"/>
      <c r="AX32" s="23"/>
      <c r="AY32" s="23"/>
      <c r="AZ32" s="23"/>
      <c r="BB32" s="23"/>
      <c r="BC32" s="23"/>
      <c r="BD32" s="23"/>
      <c r="BE32" s="23"/>
      <c r="BG32" s="17"/>
      <c r="BH32" s="17"/>
      <c r="BI32" s="17"/>
      <c r="BJ32" s="17"/>
      <c r="BL32" s="17"/>
      <c r="BM32" s="17"/>
      <c r="BN32" s="17"/>
      <c r="BO32" s="17"/>
      <c r="BQ32" s="22"/>
      <c r="BR32" s="23"/>
      <c r="BS32" s="23"/>
      <c r="BT32" s="23"/>
      <c r="BV32" s="22"/>
      <c r="BW32" s="23"/>
      <c r="BX32" s="23"/>
      <c r="BY32" s="23"/>
      <c r="CA32" s="22"/>
      <c r="CB32" s="23"/>
      <c r="CC32" s="23"/>
      <c r="CD32" s="23"/>
      <c r="CF32" s="22"/>
      <c r="CG32" s="23"/>
      <c r="CH32" s="23"/>
      <c r="CI32" s="23"/>
    </row>
    <row r="33" spans="7:87" ht="15.75" customHeight="1">
      <c r="G33" s="24"/>
      <c r="H33" s="24"/>
      <c r="I33" s="24"/>
      <c r="J33" s="24"/>
      <c r="K33" s="24"/>
      <c r="L33" s="26"/>
      <c r="AK33" s="17"/>
      <c r="AL33" s="17"/>
      <c r="AM33" s="17"/>
      <c r="AN33" s="17"/>
      <c r="AP33" s="17"/>
      <c r="AQ33" s="17"/>
      <c r="AR33" s="17"/>
      <c r="AS33" s="17"/>
      <c r="AT33" s="19"/>
      <c r="AV33" s="23"/>
      <c r="AW33" s="23"/>
      <c r="AX33" s="23"/>
      <c r="AY33" s="23"/>
      <c r="AZ33" s="23"/>
      <c r="BB33" s="23"/>
      <c r="BC33" s="23"/>
      <c r="BD33" s="23"/>
      <c r="BE33" s="23"/>
      <c r="BG33" s="17"/>
      <c r="BH33" s="17"/>
      <c r="BI33" s="17"/>
      <c r="BJ33" s="17"/>
      <c r="BL33" s="17"/>
      <c r="BM33" s="17"/>
      <c r="BN33" s="17"/>
      <c r="BO33" s="17"/>
      <c r="BQ33" s="22"/>
      <c r="BR33" s="23"/>
      <c r="BS33" s="23"/>
      <c r="BT33" s="23"/>
      <c r="BV33" s="22"/>
      <c r="BW33" s="23"/>
      <c r="BX33" s="23"/>
      <c r="BY33" s="23"/>
      <c r="CA33" s="22"/>
      <c r="CB33" s="23"/>
      <c r="CC33" s="23"/>
      <c r="CD33" s="23"/>
      <c r="CF33" s="22"/>
      <c r="CG33" s="23"/>
      <c r="CH33" s="23"/>
      <c r="CI33" s="23"/>
    </row>
    <row r="34" spans="7:87" ht="15.75" customHeight="1">
      <c r="G34" s="24"/>
      <c r="H34" s="24"/>
      <c r="I34" s="24"/>
      <c r="J34" s="24"/>
      <c r="K34" s="24"/>
      <c r="L34" s="26"/>
      <c r="AK34" s="17"/>
      <c r="AL34" s="17"/>
      <c r="AM34" s="17"/>
      <c r="AN34" s="17"/>
      <c r="AP34" s="17"/>
      <c r="AQ34" s="17"/>
      <c r="AR34" s="17"/>
      <c r="AS34" s="17"/>
      <c r="AT34" s="19"/>
      <c r="AV34" s="23"/>
      <c r="AW34" s="23"/>
      <c r="AX34" s="23"/>
      <c r="AY34" s="23"/>
      <c r="AZ34" s="23"/>
      <c r="BB34" s="23"/>
      <c r="BC34" s="23"/>
      <c r="BD34" s="23"/>
      <c r="BE34" s="23"/>
      <c r="BG34" s="17"/>
      <c r="BH34" s="17"/>
      <c r="BI34" s="17"/>
      <c r="BJ34" s="17"/>
      <c r="BL34" s="17"/>
      <c r="BM34" s="17"/>
      <c r="BN34" s="17"/>
      <c r="BO34" s="17"/>
      <c r="BQ34" s="22"/>
      <c r="BR34" s="23"/>
      <c r="BS34" s="23"/>
      <c r="BT34" s="23"/>
      <c r="BV34" s="22"/>
      <c r="BW34" s="23"/>
      <c r="BX34" s="23"/>
      <c r="BY34" s="23"/>
      <c r="CA34" s="22"/>
      <c r="CB34" s="23"/>
      <c r="CC34" s="23"/>
      <c r="CD34" s="23"/>
      <c r="CF34" s="22"/>
      <c r="CG34" s="23"/>
      <c r="CH34" s="23"/>
      <c r="CI34" s="23"/>
    </row>
    <row r="35" spans="7:87" ht="15.75" customHeight="1">
      <c r="G35" s="24"/>
      <c r="H35" s="24"/>
      <c r="I35" s="24"/>
      <c r="J35" s="24"/>
      <c r="K35" s="24"/>
      <c r="L35" s="26"/>
      <c r="AK35" s="17"/>
      <c r="AL35" s="17"/>
      <c r="AM35" s="17"/>
      <c r="AN35" s="17"/>
      <c r="AP35" s="17"/>
      <c r="AQ35" s="17"/>
      <c r="AR35" s="17"/>
      <c r="AS35" s="17"/>
      <c r="AT35" s="19"/>
      <c r="AV35" s="17"/>
      <c r="AW35" s="17"/>
      <c r="AX35" s="17"/>
      <c r="AY35" s="17"/>
      <c r="AZ35" s="17"/>
      <c r="BB35" s="17"/>
      <c r="BC35" s="17"/>
      <c r="BD35" s="17"/>
      <c r="BE35" s="17"/>
      <c r="BG35" s="17"/>
      <c r="BH35" s="17"/>
      <c r="BI35" s="17"/>
      <c r="BJ35" s="17"/>
      <c r="BL35" s="17"/>
      <c r="BM35" s="17"/>
      <c r="BN35" s="17"/>
      <c r="BO35" s="17"/>
      <c r="BQ35" s="22"/>
      <c r="BR35" s="23"/>
      <c r="BS35" s="23"/>
      <c r="BT35" s="23"/>
      <c r="BV35" s="22"/>
      <c r="BW35" s="23"/>
      <c r="BX35" s="23"/>
      <c r="BY35" s="23"/>
      <c r="CA35" s="22"/>
      <c r="CB35" s="23"/>
      <c r="CC35" s="23"/>
      <c r="CD35" s="23"/>
      <c r="CF35" s="22"/>
      <c r="CG35" s="23"/>
      <c r="CH35" s="23"/>
      <c r="CI35" s="23"/>
    </row>
    <row r="36" spans="7:87" ht="15.75" customHeight="1">
      <c r="G36" s="24"/>
      <c r="H36" s="24"/>
      <c r="I36" s="24"/>
      <c r="J36" s="24"/>
      <c r="K36" s="24"/>
      <c r="L36" s="26"/>
      <c r="AK36" s="17"/>
      <c r="AL36" s="17"/>
      <c r="AM36" s="17"/>
      <c r="AN36" s="17"/>
      <c r="AP36" s="17"/>
      <c r="AQ36" s="17"/>
      <c r="AR36" s="17"/>
      <c r="AS36" s="17"/>
      <c r="AT36" s="19"/>
      <c r="AV36" s="17"/>
      <c r="AW36" s="17"/>
      <c r="AX36" s="17"/>
      <c r="AY36" s="17"/>
      <c r="AZ36" s="17"/>
      <c r="BB36" s="17"/>
      <c r="BC36" s="17"/>
      <c r="BD36" s="17"/>
      <c r="BE36" s="17"/>
      <c r="BG36" s="17"/>
      <c r="BH36" s="17"/>
      <c r="BI36" s="17"/>
      <c r="BJ36" s="17"/>
      <c r="BL36" s="17"/>
      <c r="BM36" s="17"/>
      <c r="BN36" s="17"/>
      <c r="BO36" s="17"/>
      <c r="BQ36" s="22"/>
      <c r="BR36" s="23"/>
      <c r="BS36" s="23"/>
      <c r="BT36" s="23"/>
      <c r="BV36" s="22"/>
      <c r="BW36" s="23"/>
      <c r="BX36" s="23"/>
      <c r="BY36" s="23"/>
      <c r="CA36" s="22"/>
      <c r="CB36" s="23"/>
      <c r="CC36" s="23"/>
      <c r="CD36" s="23"/>
      <c r="CF36" s="22"/>
      <c r="CG36" s="23"/>
      <c r="CH36" s="23"/>
      <c r="CI36" s="23"/>
    </row>
    <row r="37" spans="7:87" ht="15.75" customHeight="1">
      <c r="G37" s="24"/>
      <c r="H37" s="24"/>
      <c r="I37" s="24"/>
      <c r="J37" s="24"/>
      <c r="K37" s="24"/>
      <c r="L37" s="28"/>
      <c r="AK37" s="17"/>
      <c r="AL37" s="17"/>
      <c r="AM37" s="17"/>
      <c r="AN37" s="17"/>
      <c r="AP37" s="17"/>
      <c r="AQ37" s="17"/>
      <c r="AR37" s="17"/>
      <c r="AS37" s="17"/>
      <c r="AT37" s="19"/>
      <c r="AV37" s="17"/>
      <c r="AW37" s="17"/>
      <c r="AX37" s="17"/>
      <c r="AY37" s="17"/>
      <c r="AZ37" s="17"/>
      <c r="BB37" s="17"/>
      <c r="BC37" s="17"/>
      <c r="BD37" s="17"/>
      <c r="BE37" s="17"/>
      <c r="BG37" s="17"/>
      <c r="BH37" s="17"/>
      <c r="BI37" s="17"/>
      <c r="BJ37" s="17"/>
      <c r="BL37" s="17"/>
      <c r="BM37" s="17"/>
      <c r="BN37" s="17"/>
      <c r="BO37" s="17"/>
      <c r="BQ37" s="17"/>
      <c r="BR37" s="17"/>
      <c r="BS37" s="17"/>
      <c r="BT37" s="17"/>
      <c r="BV37" s="17"/>
      <c r="BW37" s="17"/>
      <c r="BX37" s="17"/>
      <c r="BY37" s="17"/>
      <c r="CA37" s="17"/>
      <c r="CB37" s="17"/>
      <c r="CC37" s="17"/>
      <c r="CD37" s="17"/>
      <c r="CF37" s="17"/>
      <c r="CG37" s="17"/>
      <c r="CH37" s="17"/>
      <c r="CI37" s="17"/>
    </row>
    <row r="38" spans="7:87" ht="15.75" customHeight="1">
      <c r="G38" s="24"/>
      <c r="H38" s="24"/>
      <c r="I38" s="24"/>
      <c r="J38" s="24"/>
      <c r="K38" s="24"/>
      <c r="L38" s="28"/>
      <c r="AK38" s="17"/>
      <c r="AL38" s="17"/>
      <c r="AM38" s="17"/>
      <c r="AN38" s="17"/>
      <c r="AP38" s="17"/>
      <c r="AQ38" s="17"/>
      <c r="AR38" s="17"/>
      <c r="AS38" s="17"/>
      <c r="AT38" s="19"/>
      <c r="AV38" s="17"/>
      <c r="AW38" s="17"/>
      <c r="AX38" s="17"/>
      <c r="AY38" s="17"/>
      <c r="AZ38" s="17"/>
      <c r="BB38" s="17"/>
      <c r="BC38" s="17"/>
      <c r="BD38" s="17"/>
      <c r="BE38" s="17"/>
      <c r="BG38" s="17"/>
      <c r="BH38" s="17"/>
      <c r="BI38" s="17"/>
      <c r="BJ38" s="17"/>
      <c r="BL38" s="17"/>
      <c r="BM38" s="17"/>
      <c r="BN38" s="17"/>
      <c r="BO38" s="17"/>
      <c r="BQ38" s="17"/>
      <c r="BR38" s="17"/>
      <c r="BS38" s="17"/>
      <c r="BT38" s="17"/>
      <c r="BV38" s="17"/>
      <c r="BW38" s="17"/>
      <c r="BX38" s="17"/>
      <c r="BY38" s="17"/>
      <c r="CA38" s="17"/>
      <c r="CB38" s="17"/>
      <c r="CC38" s="17"/>
      <c r="CD38" s="17"/>
      <c r="CF38" s="17"/>
      <c r="CG38" s="17"/>
      <c r="CH38" s="17"/>
      <c r="CI38" s="17"/>
    </row>
    <row r="39" spans="7:87" ht="15.75" customHeight="1">
      <c r="G39" s="24"/>
      <c r="H39" s="24"/>
      <c r="I39" s="24"/>
      <c r="J39" s="24"/>
      <c r="K39" s="24"/>
      <c r="L39" s="28"/>
      <c r="AK39" s="17"/>
      <c r="AL39" s="17"/>
      <c r="AM39" s="17"/>
      <c r="AN39" s="17"/>
      <c r="AP39" s="17"/>
      <c r="AQ39" s="17"/>
      <c r="AR39" s="17"/>
      <c r="AS39" s="17"/>
      <c r="AT39" s="19"/>
      <c r="AV39" s="17"/>
      <c r="AW39" s="17"/>
      <c r="AX39" s="17"/>
      <c r="AY39" s="17"/>
      <c r="AZ39" s="17"/>
      <c r="BB39" s="17"/>
      <c r="BC39" s="17"/>
      <c r="BD39" s="17"/>
      <c r="BE39" s="17"/>
      <c r="BG39" s="17"/>
      <c r="BH39" s="17"/>
      <c r="BI39" s="17"/>
      <c r="BJ39" s="17"/>
      <c r="BL39" s="17"/>
      <c r="BM39" s="17"/>
      <c r="BN39" s="17"/>
      <c r="BO39" s="17"/>
      <c r="BQ39" s="17"/>
      <c r="BR39" s="17"/>
      <c r="BS39" s="17"/>
      <c r="BT39" s="17"/>
      <c r="BV39" s="17"/>
      <c r="BW39" s="17"/>
      <c r="BX39" s="17"/>
      <c r="BY39" s="17"/>
      <c r="CA39" s="17"/>
      <c r="CB39" s="17"/>
      <c r="CC39" s="17"/>
      <c r="CD39" s="17"/>
      <c r="CF39" s="17"/>
      <c r="CG39" s="17"/>
      <c r="CH39" s="17"/>
      <c r="CI39" s="17"/>
    </row>
    <row r="40" spans="7:87" ht="15.75" customHeight="1">
      <c r="G40" s="24"/>
      <c r="H40" s="24"/>
      <c r="I40" s="24"/>
      <c r="J40" s="24"/>
      <c r="K40" s="24"/>
      <c r="L40" s="28"/>
      <c r="AK40" s="17"/>
      <c r="AL40" s="17"/>
      <c r="AM40" s="17"/>
      <c r="AN40" s="17"/>
      <c r="AP40" s="17"/>
      <c r="AQ40" s="17"/>
      <c r="AR40" s="17"/>
      <c r="AS40" s="17"/>
      <c r="AT40" s="19"/>
      <c r="AV40" s="17"/>
      <c r="AW40" s="17"/>
      <c r="AX40" s="17"/>
      <c r="AY40" s="17"/>
      <c r="AZ40" s="17"/>
      <c r="BB40" s="17"/>
      <c r="BC40" s="17"/>
      <c r="BD40" s="17"/>
      <c r="BE40" s="17"/>
      <c r="BG40" s="17"/>
      <c r="BH40" s="17"/>
      <c r="BI40" s="17"/>
      <c r="BJ40" s="17"/>
      <c r="BL40" s="17"/>
      <c r="BM40" s="17"/>
      <c r="BN40" s="17"/>
      <c r="BO40" s="17"/>
      <c r="BQ40" s="17"/>
      <c r="BR40" s="17"/>
      <c r="BS40" s="17"/>
      <c r="BT40" s="17"/>
      <c r="BV40" s="17"/>
      <c r="BW40" s="17"/>
      <c r="BX40" s="17"/>
      <c r="BY40" s="17"/>
      <c r="CA40" s="17"/>
      <c r="CB40" s="17"/>
      <c r="CC40" s="17"/>
      <c r="CD40" s="17"/>
      <c r="CF40" s="17"/>
      <c r="CG40" s="17"/>
      <c r="CH40" s="17"/>
      <c r="CI40" s="17"/>
    </row>
    <row r="41" spans="7:87" ht="15.75" customHeight="1">
      <c r="G41" s="24"/>
      <c r="H41" s="24"/>
      <c r="I41" s="24"/>
      <c r="J41" s="24"/>
      <c r="K41" s="24"/>
      <c r="L41" s="28"/>
      <c r="AK41" s="17"/>
      <c r="AL41" s="17"/>
      <c r="AM41" s="17"/>
      <c r="AN41" s="17"/>
      <c r="AP41" s="17"/>
      <c r="AQ41" s="17"/>
      <c r="AR41" s="17"/>
      <c r="AS41" s="17"/>
      <c r="AT41" s="19"/>
      <c r="AV41" s="17"/>
      <c r="AW41" s="17"/>
      <c r="AX41" s="17"/>
      <c r="AY41" s="17"/>
      <c r="AZ41" s="17"/>
      <c r="BB41" s="17"/>
      <c r="BC41" s="17"/>
      <c r="BD41" s="17"/>
      <c r="BE41" s="17"/>
      <c r="BG41" s="17"/>
      <c r="BH41" s="17"/>
      <c r="BI41" s="17"/>
      <c r="BJ41" s="17"/>
      <c r="BL41" s="17"/>
      <c r="BM41" s="17"/>
      <c r="BN41" s="17"/>
      <c r="BO41" s="17"/>
      <c r="BQ41" s="17"/>
      <c r="BR41" s="17"/>
      <c r="BS41" s="17"/>
      <c r="BT41" s="17"/>
      <c r="BV41" s="17"/>
      <c r="BW41" s="17"/>
      <c r="BX41" s="17"/>
      <c r="BY41" s="17"/>
      <c r="CA41" s="17"/>
      <c r="CB41" s="17"/>
      <c r="CC41" s="17"/>
      <c r="CD41" s="17"/>
      <c r="CF41" s="17"/>
      <c r="CG41" s="17"/>
      <c r="CH41" s="17"/>
      <c r="CI41" s="17"/>
    </row>
    <row r="42" spans="7:87" ht="15.75" customHeight="1">
      <c r="G42" s="24"/>
      <c r="H42" s="24"/>
      <c r="I42" s="24"/>
      <c r="J42" s="24"/>
      <c r="K42" s="24"/>
      <c r="L42" s="28"/>
      <c r="AK42" s="17"/>
      <c r="AL42" s="17"/>
      <c r="AM42" s="17"/>
      <c r="AN42" s="17"/>
      <c r="AP42" s="17"/>
      <c r="AQ42" s="17"/>
      <c r="AR42" s="17"/>
      <c r="AS42" s="17"/>
      <c r="AT42" s="19"/>
      <c r="AV42" s="17"/>
      <c r="AW42" s="17"/>
      <c r="AX42" s="17"/>
      <c r="AY42" s="17"/>
      <c r="AZ42" s="17"/>
      <c r="BB42" s="17"/>
      <c r="BC42" s="17"/>
      <c r="BD42" s="17"/>
      <c r="BE42" s="17"/>
      <c r="BG42" s="17"/>
      <c r="BH42" s="17"/>
      <c r="BI42" s="17"/>
      <c r="BJ42" s="17"/>
      <c r="BL42" s="17"/>
      <c r="BM42" s="17"/>
      <c r="BN42" s="17"/>
      <c r="BO42" s="17"/>
      <c r="BQ42" s="17"/>
      <c r="BR42" s="17"/>
      <c r="BS42" s="17"/>
      <c r="BT42" s="17"/>
      <c r="BV42" s="17"/>
      <c r="BW42" s="17"/>
      <c r="BX42" s="17"/>
      <c r="BY42" s="17"/>
      <c r="CA42" s="17"/>
      <c r="CB42" s="17"/>
      <c r="CC42" s="17"/>
      <c r="CD42" s="17"/>
      <c r="CF42" s="17"/>
      <c r="CG42" s="17"/>
      <c r="CH42" s="17"/>
      <c r="CI42" s="17"/>
    </row>
    <row r="43" spans="7:87" ht="15.75" customHeight="1">
      <c r="G43" s="24"/>
      <c r="H43" s="24"/>
      <c r="I43" s="24"/>
      <c r="J43" s="24"/>
      <c r="K43" s="24"/>
      <c r="L43" s="28"/>
      <c r="AK43" s="17"/>
      <c r="AL43" s="17"/>
      <c r="AM43" s="17"/>
      <c r="AN43" s="17"/>
      <c r="AP43" s="17"/>
      <c r="AQ43" s="17"/>
      <c r="AR43" s="17"/>
      <c r="AS43" s="17"/>
      <c r="AT43" s="19"/>
      <c r="AV43" s="17"/>
      <c r="AW43" s="17"/>
      <c r="AX43" s="17"/>
      <c r="AY43" s="17"/>
      <c r="AZ43" s="17"/>
      <c r="BB43" s="17"/>
      <c r="BC43" s="17"/>
      <c r="BD43" s="17"/>
      <c r="BE43" s="17"/>
      <c r="BG43" s="17"/>
      <c r="BH43" s="17"/>
      <c r="BI43" s="17"/>
      <c r="BJ43" s="17"/>
      <c r="BL43" s="17"/>
      <c r="BM43" s="17"/>
      <c r="BN43" s="17"/>
      <c r="BO43" s="17"/>
      <c r="BQ43" s="17"/>
      <c r="BR43" s="17"/>
      <c r="BS43" s="17"/>
      <c r="BT43" s="17"/>
      <c r="BV43" s="17"/>
      <c r="BW43" s="17"/>
      <c r="BX43" s="17"/>
      <c r="BY43" s="17"/>
      <c r="CA43" s="17"/>
      <c r="CB43" s="17"/>
      <c r="CC43" s="17"/>
      <c r="CD43" s="17"/>
      <c r="CF43" s="17"/>
      <c r="CG43" s="17"/>
      <c r="CH43" s="17"/>
      <c r="CI43" s="17"/>
    </row>
    <row r="44" spans="7:87" ht="15.75" customHeight="1">
      <c r="G44" s="24"/>
      <c r="H44" s="24"/>
      <c r="I44" s="24"/>
      <c r="J44" s="24"/>
      <c r="K44" s="24"/>
      <c r="L44" s="28"/>
      <c r="AK44" s="17"/>
      <c r="AL44" s="17"/>
      <c r="AM44" s="17"/>
      <c r="AN44" s="17"/>
      <c r="AP44" s="17"/>
      <c r="AQ44" s="17"/>
      <c r="AR44" s="17"/>
      <c r="AS44" s="17"/>
      <c r="AT44" s="19"/>
      <c r="AV44" s="17"/>
      <c r="AW44" s="17"/>
      <c r="AX44" s="17"/>
      <c r="AY44" s="17"/>
      <c r="AZ44" s="17"/>
      <c r="BB44" s="17"/>
      <c r="BC44" s="17"/>
      <c r="BD44" s="17"/>
      <c r="BE44" s="17"/>
      <c r="BG44" s="17"/>
      <c r="BH44" s="17"/>
      <c r="BI44" s="17"/>
      <c r="BJ44" s="17"/>
      <c r="BL44" s="17"/>
      <c r="BM44" s="17"/>
      <c r="BN44" s="17"/>
      <c r="BO44" s="17"/>
      <c r="BQ44" s="17"/>
      <c r="BR44" s="17"/>
      <c r="BS44" s="17"/>
      <c r="BT44" s="17"/>
      <c r="BV44" s="17"/>
      <c r="BW44" s="17"/>
      <c r="BX44" s="17"/>
      <c r="BY44" s="17"/>
      <c r="CA44" s="17"/>
      <c r="CB44" s="17"/>
      <c r="CC44" s="17"/>
      <c r="CD44" s="17"/>
      <c r="CF44" s="17"/>
      <c r="CG44" s="17"/>
      <c r="CH44" s="17"/>
      <c r="CI44" s="17"/>
    </row>
    <row r="45" spans="7:87" ht="13.5">
      <c r="G45" s="24"/>
      <c r="H45" s="24"/>
      <c r="I45" s="24"/>
      <c r="J45" s="24"/>
      <c r="K45" s="24"/>
    </row>
    <row r="46" spans="7:87" ht="13.5">
      <c r="G46" s="24"/>
      <c r="H46" s="24"/>
      <c r="I46" s="24"/>
      <c r="J46" s="24"/>
      <c r="K46" s="24"/>
    </row>
    <row r="47" spans="7:87" ht="13.5">
      <c r="G47" s="24"/>
      <c r="H47" s="24"/>
      <c r="I47" s="24"/>
      <c r="J47" s="24"/>
      <c r="K47" s="24"/>
    </row>
    <row r="48" spans="7:87" ht="15.75" customHeight="1">
      <c r="G48" s="24"/>
      <c r="H48" s="24"/>
      <c r="I48" s="24"/>
      <c r="J48" s="24"/>
      <c r="K48" s="24"/>
    </row>
    <row r="49" spans="7:11" ht="15.75" customHeight="1">
      <c r="G49" s="24"/>
      <c r="H49" s="24"/>
      <c r="I49" s="24"/>
      <c r="J49" s="24"/>
      <c r="K49" s="24"/>
    </row>
    <row r="50" spans="7:11" ht="15.75" customHeight="1">
      <c r="G50" s="24"/>
      <c r="H50" s="24"/>
      <c r="I50" s="24"/>
      <c r="J50" s="24"/>
      <c r="K50" s="24"/>
    </row>
    <row r="51" spans="7:11" ht="15.75" customHeight="1">
      <c r="G51" s="24"/>
      <c r="H51" s="24"/>
      <c r="I51" s="24"/>
      <c r="J51" s="24"/>
      <c r="K51" s="24"/>
    </row>
    <row r="52" spans="7:11" ht="15.75" customHeight="1">
      <c r="G52" s="24"/>
      <c r="H52" s="24"/>
      <c r="I52" s="24"/>
      <c r="J52" s="24"/>
      <c r="K52" s="24"/>
    </row>
    <row r="53" spans="7:11" ht="15.75" customHeight="1">
      <c r="G53" s="24"/>
      <c r="H53" s="24"/>
      <c r="I53" s="24"/>
      <c r="J53" s="24"/>
      <c r="K53" s="24"/>
    </row>
    <row r="54" spans="7:11" ht="15.75" customHeight="1">
      <c r="G54" s="24"/>
      <c r="H54" s="24"/>
      <c r="I54" s="24"/>
      <c r="J54" s="24"/>
      <c r="K54" s="24"/>
    </row>
    <row r="55" spans="7:11" ht="15.75" customHeight="1">
      <c r="G55" s="24"/>
      <c r="H55" s="24"/>
      <c r="I55" s="24"/>
      <c r="J55" s="24"/>
      <c r="K55" s="24"/>
    </row>
    <row r="56" spans="7:11" ht="15.75" customHeight="1">
      <c r="G56" s="24"/>
      <c r="H56" s="24"/>
      <c r="I56" s="24"/>
      <c r="J56" s="24"/>
      <c r="K56" s="24"/>
    </row>
    <row r="57" spans="7:11" ht="15.75" customHeight="1">
      <c r="G57" s="24"/>
      <c r="H57" s="24"/>
      <c r="I57" s="24"/>
      <c r="J57" s="24"/>
      <c r="K57" s="24"/>
    </row>
    <row r="58" spans="7:11" ht="15.75" customHeight="1">
      <c r="G58" s="24"/>
      <c r="H58" s="24"/>
      <c r="I58" s="24"/>
      <c r="J58" s="24"/>
      <c r="K58" s="2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93"/>
  <sheetViews>
    <sheetView topLeftCell="A59" workbookViewId="0">
      <selection activeCell="F52" sqref="F52"/>
    </sheetView>
  </sheetViews>
  <sheetFormatPr defaultRowHeight="16.5"/>
  <cols>
    <col min="3" max="3" width="11.625" bestFit="1" customWidth="1"/>
  </cols>
  <sheetData>
    <row r="1" spans="2:30" ht="17.25" thickBot="1"/>
    <row r="2" spans="2:30" ht="17.25" thickBo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2"/>
      <c r="L2" s="33" t="s">
        <v>9</v>
      </c>
      <c r="M2" s="34"/>
      <c r="N2" s="34"/>
      <c r="O2" s="34"/>
      <c r="P2" s="34"/>
      <c r="Q2" s="34"/>
      <c r="R2" s="34"/>
      <c r="S2" s="34"/>
      <c r="T2" s="35"/>
      <c r="U2" s="2"/>
      <c r="V2" s="33" t="s">
        <v>10</v>
      </c>
      <c r="W2" s="34"/>
      <c r="X2" s="34"/>
      <c r="Y2" s="34"/>
      <c r="Z2" s="34"/>
      <c r="AA2" s="34"/>
      <c r="AB2" s="34"/>
      <c r="AC2" s="34"/>
      <c r="AD2" s="35"/>
    </row>
    <row r="3" spans="2:30">
      <c r="B3" s="3">
        <v>1</v>
      </c>
      <c r="C3" s="4" t="s">
        <v>11</v>
      </c>
      <c r="D3" s="5">
        <v>25</v>
      </c>
      <c r="E3" s="5">
        <v>3000</v>
      </c>
      <c r="F3" s="5">
        <v>3000</v>
      </c>
      <c r="G3" s="5">
        <v>3000</v>
      </c>
      <c r="H3" s="5">
        <v>3000</v>
      </c>
      <c r="I3" s="6"/>
      <c r="J3" s="6"/>
      <c r="K3" s="2"/>
      <c r="U3" s="2"/>
      <c r="V3" s="7" t="s">
        <v>0</v>
      </c>
      <c r="W3" s="7" t="s">
        <v>1</v>
      </c>
      <c r="X3" s="7" t="s">
        <v>2</v>
      </c>
      <c r="Y3" s="7" t="s">
        <v>3</v>
      </c>
      <c r="Z3" s="7" t="s">
        <v>4</v>
      </c>
      <c r="AA3" s="7" t="s">
        <v>5</v>
      </c>
      <c r="AB3" s="7" t="s">
        <v>6</v>
      </c>
      <c r="AC3" s="7" t="s">
        <v>7</v>
      </c>
      <c r="AD3" s="7" t="s">
        <v>8</v>
      </c>
    </row>
    <row r="4" spans="2:30">
      <c r="B4" s="3">
        <v>1</v>
      </c>
      <c r="C4" s="4" t="s">
        <v>12</v>
      </c>
      <c r="D4" s="5">
        <v>25</v>
      </c>
      <c r="E4" s="5">
        <v>800</v>
      </c>
      <c r="F4" s="5">
        <v>800</v>
      </c>
      <c r="G4" s="5">
        <v>800</v>
      </c>
      <c r="H4" s="6"/>
      <c r="I4" s="6"/>
      <c r="J4" s="6"/>
      <c r="K4" s="2"/>
      <c r="U4" s="2"/>
      <c r="V4" s="3">
        <v>10</v>
      </c>
      <c r="W4" s="3" t="s">
        <v>14</v>
      </c>
      <c r="X4" s="12">
        <v>25</v>
      </c>
      <c r="Y4" s="6"/>
      <c r="Z4" s="6"/>
      <c r="AA4" s="6"/>
      <c r="AB4" s="6"/>
      <c r="AC4" s="13">
        <v>50000</v>
      </c>
      <c r="AD4" s="6"/>
    </row>
    <row r="5" spans="2:30">
      <c r="B5" s="3">
        <v>1</v>
      </c>
      <c r="C5" s="4" t="s">
        <v>15</v>
      </c>
      <c r="D5" s="5">
        <v>50</v>
      </c>
      <c r="E5" s="6"/>
      <c r="F5" s="6"/>
      <c r="G5" s="6"/>
      <c r="H5" s="6"/>
      <c r="I5" s="6"/>
      <c r="J5" s="5">
        <v>20</v>
      </c>
      <c r="K5" s="2"/>
      <c r="U5" s="2"/>
      <c r="V5" s="3">
        <v>10</v>
      </c>
      <c r="W5" s="3" t="s">
        <v>17</v>
      </c>
      <c r="X5" s="12">
        <v>25</v>
      </c>
      <c r="Y5" s="13">
        <v>10000</v>
      </c>
      <c r="Z5" s="13">
        <v>10000</v>
      </c>
      <c r="AA5" s="13">
        <v>10000</v>
      </c>
      <c r="AB5" s="13">
        <v>10000</v>
      </c>
      <c r="AC5" s="13">
        <v>10000</v>
      </c>
      <c r="AD5" s="6"/>
    </row>
    <row r="6" spans="2:30">
      <c r="B6" s="31" t="s">
        <v>18</v>
      </c>
      <c r="C6" s="32"/>
      <c r="D6" s="14">
        <f t="shared" ref="D6:J6" si="0">SUM(D3:D5)</f>
        <v>100</v>
      </c>
      <c r="E6" s="14">
        <f t="shared" si="0"/>
        <v>3800</v>
      </c>
      <c r="F6" s="14">
        <f t="shared" si="0"/>
        <v>3800</v>
      </c>
      <c r="G6" s="14">
        <f t="shared" si="0"/>
        <v>3800</v>
      </c>
      <c r="H6" s="14">
        <f t="shared" si="0"/>
        <v>3000</v>
      </c>
      <c r="I6" s="14">
        <f t="shared" si="0"/>
        <v>0</v>
      </c>
      <c r="J6" s="14">
        <f t="shared" si="0"/>
        <v>20</v>
      </c>
      <c r="K6" s="2"/>
      <c r="U6" s="2"/>
      <c r="V6" s="3">
        <v>10</v>
      </c>
      <c r="W6" s="3" t="s">
        <v>20</v>
      </c>
      <c r="X6" s="12">
        <v>25</v>
      </c>
      <c r="Y6" s="6"/>
      <c r="Z6" s="6"/>
      <c r="AA6" s="6"/>
      <c r="AB6" s="6"/>
      <c r="AC6" s="13">
        <v>20000</v>
      </c>
      <c r="AD6" s="6"/>
    </row>
    <row r="7" spans="2:30">
      <c r="B7" s="2"/>
      <c r="C7" s="2"/>
      <c r="D7" s="2"/>
      <c r="E7" s="2"/>
      <c r="F7" s="2"/>
      <c r="G7" s="2"/>
      <c r="H7" s="2"/>
      <c r="I7" s="2"/>
      <c r="J7" s="2"/>
      <c r="K7" s="2"/>
      <c r="U7" s="2"/>
      <c r="V7" s="3">
        <v>10</v>
      </c>
      <c r="W7" s="3" t="s">
        <v>22</v>
      </c>
      <c r="X7" s="12">
        <v>25</v>
      </c>
      <c r="Y7" s="13">
        <v>3000</v>
      </c>
      <c r="Z7" s="13">
        <v>3000</v>
      </c>
      <c r="AA7" s="13">
        <v>3000</v>
      </c>
      <c r="AB7" s="13">
        <v>3000</v>
      </c>
      <c r="AC7" s="6"/>
      <c r="AD7" s="6"/>
    </row>
    <row r="8" spans="2:30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1" t="s">
        <v>8</v>
      </c>
      <c r="K8" s="2"/>
      <c r="U8" s="2"/>
      <c r="V8" s="3">
        <v>10</v>
      </c>
      <c r="W8" s="3" t="s">
        <v>24</v>
      </c>
      <c r="X8" s="13">
        <v>25</v>
      </c>
      <c r="Y8" s="13">
        <v>20000</v>
      </c>
      <c r="Z8" s="13">
        <v>20000</v>
      </c>
      <c r="AA8" s="6"/>
      <c r="AB8" s="13">
        <v>60000</v>
      </c>
      <c r="AC8" s="6"/>
      <c r="AD8" s="6"/>
    </row>
    <row r="9" spans="2:30">
      <c r="B9" s="3">
        <v>2</v>
      </c>
      <c r="C9" s="4" t="s">
        <v>25</v>
      </c>
      <c r="D9" s="5">
        <v>25</v>
      </c>
      <c r="E9" s="5">
        <v>3000</v>
      </c>
      <c r="F9" s="5">
        <v>3000</v>
      </c>
      <c r="G9" s="5">
        <v>8000</v>
      </c>
      <c r="H9" s="6"/>
      <c r="I9" s="6"/>
      <c r="J9" s="6"/>
      <c r="K9" s="2"/>
      <c r="U9" s="2"/>
      <c r="V9" s="3">
        <v>10</v>
      </c>
      <c r="W9" s="3" t="s">
        <v>27</v>
      </c>
      <c r="X9" s="13">
        <v>25</v>
      </c>
      <c r="Y9" s="13">
        <v>6000</v>
      </c>
      <c r="Z9" s="13">
        <v>6000</v>
      </c>
      <c r="AA9" s="13">
        <v>6000</v>
      </c>
      <c r="AB9" s="6"/>
      <c r="AC9" s="6"/>
      <c r="AD9" s="6"/>
    </row>
    <row r="10" spans="2:30">
      <c r="B10" s="3">
        <v>2</v>
      </c>
      <c r="C10" s="4" t="s">
        <v>28</v>
      </c>
      <c r="D10" s="5">
        <v>25</v>
      </c>
      <c r="E10" s="5">
        <v>5000</v>
      </c>
      <c r="F10" s="5">
        <v>5000</v>
      </c>
      <c r="G10" s="5">
        <v>5000</v>
      </c>
      <c r="H10" s="6"/>
      <c r="I10" s="6"/>
      <c r="J10" s="6"/>
      <c r="K10" s="2"/>
      <c r="U10" s="2"/>
      <c r="V10" s="3">
        <v>10</v>
      </c>
      <c r="W10" s="3" t="s">
        <v>30</v>
      </c>
      <c r="X10" s="13">
        <v>25</v>
      </c>
      <c r="Y10" s="6"/>
      <c r="Z10" s="13">
        <v>6000</v>
      </c>
      <c r="AA10" s="13">
        <v>6000</v>
      </c>
      <c r="AB10" s="6"/>
      <c r="AC10" s="6"/>
      <c r="AD10" s="6"/>
    </row>
    <row r="11" spans="2:30">
      <c r="B11" s="3">
        <v>2</v>
      </c>
      <c r="C11" s="4" t="s">
        <v>31</v>
      </c>
      <c r="D11" s="5">
        <v>25</v>
      </c>
      <c r="E11" s="5">
        <v>400</v>
      </c>
      <c r="F11" s="5">
        <v>400</v>
      </c>
      <c r="G11" s="5">
        <v>400</v>
      </c>
      <c r="H11" s="6"/>
      <c r="I11" s="6"/>
      <c r="J11" s="6"/>
      <c r="K11" s="2"/>
      <c r="U11" s="2"/>
      <c r="V11" s="3">
        <v>10</v>
      </c>
      <c r="W11" s="3" t="s">
        <v>33</v>
      </c>
      <c r="X11" s="13">
        <v>25</v>
      </c>
      <c r="Y11" s="13">
        <v>6000</v>
      </c>
      <c r="Z11" s="6"/>
      <c r="AA11" s="13">
        <v>6000</v>
      </c>
      <c r="AB11" s="6"/>
      <c r="AC11" s="6"/>
      <c r="AD11" s="6"/>
    </row>
    <row r="12" spans="2:30">
      <c r="B12" s="3">
        <v>2</v>
      </c>
      <c r="C12" s="4" t="s">
        <v>34</v>
      </c>
      <c r="D12" s="5">
        <v>25</v>
      </c>
      <c r="E12" s="5">
        <v>600</v>
      </c>
      <c r="F12" s="5">
        <v>600</v>
      </c>
      <c r="G12" s="6"/>
      <c r="H12" s="6"/>
      <c r="I12" s="6"/>
      <c r="J12" s="6"/>
      <c r="K12" s="2"/>
      <c r="U12" s="2"/>
      <c r="V12" s="3">
        <v>10</v>
      </c>
      <c r="W12" s="3" t="s">
        <v>36</v>
      </c>
      <c r="X12" s="13">
        <v>25</v>
      </c>
      <c r="Y12" s="13">
        <v>4000</v>
      </c>
      <c r="Z12" s="13">
        <v>4000</v>
      </c>
      <c r="AA12" s="13">
        <v>4000</v>
      </c>
      <c r="AB12" s="6"/>
      <c r="AC12" s="6"/>
      <c r="AD12" s="6"/>
    </row>
    <row r="13" spans="2:30">
      <c r="B13" s="3">
        <v>2</v>
      </c>
      <c r="C13" s="4" t="s">
        <v>37</v>
      </c>
      <c r="D13" s="5">
        <v>50</v>
      </c>
      <c r="E13" s="6"/>
      <c r="F13" s="6"/>
      <c r="G13" s="6"/>
      <c r="H13" s="6"/>
      <c r="I13" s="6"/>
      <c r="J13" s="5">
        <v>30</v>
      </c>
      <c r="K13" s="2"/>
      <c r="U13" s="2"/>
      <c r="V13" s="3">
        <v>10</v>
      </c>
      <c r="W13" s="3" t="s">
        <v>39</v>
      </c>
      <c r="X13" s="13">
        <v>25</v>
      </c>
      <c r="Y13" s="13">
        <v>6000</v>
      </c>
      <c r="Z13" s="13">
        <v>6000</v>
      </c>
      <c r="AA13" s="6"/>
      <c r="AB13" s="6"/>
      <c r="AC13" s="6"/>
      <c r="AD13" s="6"/>
    </row>
    <row r="14" spans="2:30">
      <c r="B14" s="31" t="s">
        <v>40</v>
      </c>
      <c r="C14" s="32"/>
      <c r="D14" s="14">
        <f t="shared" ref="D14:J14" si="1">SUM(D9:D13)</f>
        <v>150</v>
      </c>
      <c r="E14" s="14">
        <f t="shared" si="1"/>
        <v>9000</v>
      </c>
      <c r="F14" s="14">
        <f t="shared" si="1"/>
        <v>9000</v>
      </c>
      <c r="G14" s="14">
        <f t="shared" si="1"/>
        <v>13400</v>
      </c>
      <c r="H14" s="14">
        <f t="shared" si="1"/>
        <v>0</v>
      </c>
      <c r="I14" s="14">
        <f t="shared" si="1"/>
        <v>0</v>
      </c>
      <c r="J14" s="14">
        <f t="shared" si="1"/>
        <v>30</v>
      </c>
      <c r="K14" s="2"/>
      <c r="U14" s="2"/>
      <c r="V14" s="3">
        <v>10</v>
      </c>
      <c r="W14" s="3" t="s">
        <v>42</v>
      </c>
      <c r="X14" s="13">
        <v>25</v>
      </c>
      <c r="Y14" s="13">
        <v>10000</v>
      </c>
      <c r="Z14" s="13">
        <v>10000</v>
      </c>
      <c r="AA14" s="13">
        <v>10000</v>
      </c>
      <c r="AB14" s="13">
        <v>10000</v>
      </c>
      <c r="AC14" s="6"/>
      <c r="AD14" s="6"/>
    </row>
    <row r="15" spans="2:30">
      <c r="B15" s="2"/>
      <c r="C15" s="2"/>
      <c r="D15" s="2"/>
      <c r="E15" s="2"/>
      <c r="F15" s="2"/>
      <c r="G15" s="2"/>
      <c r="H15" s="2"/>
      <c r="I15" s="2"/>
      <c r="J15" s="2"/>
      <c r="K15" s="2"/>
      <c r="U15" s="2"/>
      <c r="V15" s="3">
        <v>10</v>
      </c>
      <c r="W15" s="3" t="s">
        <v>44</v>
      </c>
      <c r="X15" s="13">
        <v>100</v>
      </c>
      <c r="Y15" s="6"/>
      <c r="Z15" s="6"/>
      <c r="AA15" s="6"/>
      <c r="AB15" s="6"/>
      <c r="AC15" s="6"/>
      <c r="AD15" s="13">
        <v>100</v>
      </c>
    </row>
    <row r="16" spans="2:30"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  <c r="H16" s="1" t="s">
        <v>6</v>
      </c>
      <c r="I16" s="1" t="s">
        <v>7</v>
      </c>
      <c r="J16" s="1" t="s">
        <v>8</v>
      </c>
      <c r="K16" s="2"/>
      <c r="U16" s="2"/>
      <c r="V16" s="31" t="s">
        <v>45</v>
      </c>
      <c r="W16" s="32"/>
      <c r="X16" s="15">
        <f t="shared" ref="X16:AD16" si="2">SUM(X4:X15)</f>
        <v>375</v>
      </c>
      <c r="Y16" s="15">
        <f t="shared" si="2"/>
        <v>65000</v>
      </c>
      <c r="Z16" s="15">
        <f t="shared" si="2"/>
        <v>65000</v>
      </c>
      <c r="AA16" s="15">
        <f t="shared" si="2"/>
        <v>45000</v>
      </c>
      <c r="AB16" s="15">
        <f t="shared" si="2"/>
        <v>83000</v>
      </c>
      <c r="AC16" s="15">
        <f t="shared" si="2"/>
        <v>80000</v>
      </c>
      <c r="AD16" s="15">
        <f t="shared" si="2"/>
        <v>100</v>
      </c>
    </row>
    <row r="17" spans="2:30">
      <c r="B17" s="3">
        <v>3</v>
      </c>
      <c r="C17" s="4" t="s">
        <v>46</v>
      </c>
      <c r="D17" s="5">
        <v>25</v>
      </c>
      <c r="E17" s="5">
        <v>5000</v>
      </c>
      <c r="F17" s="5">
        <v>5000</v>
      </c>
      <c r="G17" s="5">
        <v>12000</v>
      </c>
      <c r="H17" s="6"/>
      <c r="I17" s="6"/>
      <c r="J17" s="6"/>
      <c r="K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2:30">
      <c r="B18" s="3">
        <v>3</v>
      </c>
      <c r="C18" s="4" t="s">
        <v>47</v>
      </c>
      <c r="D18" s="5">
        <v>25</v>
      </c>
      <c r="E18" s="6"/>
      <c r="F18" s="5">
        <v>600</v>
      </c>
      <c r="G18" s="5">
        <v>600</v>
      </c>
      <c r="H18" s="6"/>
      <c r="I18" s="6"/>
      <c r="J18" s="6"/>
      <c r="K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2:30">
      <c r="B19" s="3">
        <v>3</v>
      </c>
      <c r="C19" s="4" t="s">
        <v>49</v>
      </c>
      <c r="D19" s="5">
        <v>25</v>
      </c>
      <c r="E19" s="5">
        <v>600</v>
      </c>
      <c r="F19" s="6"/>
      <c r="G19" s="5">
        <v>600</v>
      </c>
      <c r="H19" s="6"/>
      <c r="I19" s="6"/>
      <c r="J19" s="6"/>
      <c r="K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2:30">
      <c r="B20" s="3">
        <v>3</v>
      </c>
      <c r="C20" s="4" t="s">
        <v>51</v>
      </c>
      <c r="D20" s="5">
        <v>10</v>
      </c>
      <c r="E20" s="5">
        <v>2000</v>
      </c>
      <c r="F20" s="5">
        <v>2000</v>
      </c>
      <c r="G20" s="6"/>
      <c r="H20" s="5">
        <v>4000</v>
      </c>
      <c r="I20" s="6"/>
      <c r="J20" s="6"/>
      <c r="K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2:30">
      <c r="B21" s="3">
        <v>3</v>
      </c>
      <c r="C21" s="4" t="s">
        <v>53</v>
      </c>
      <c r="D21" s="5">
        <v>25</v>
      </c>
      <c r="E21" s="5">
        <v>5000</v>
      </c>
      <c r="F21" s="5">
        <v>5000</v>
      </c>
      <c r="G21" s="5">
        <v>5000</v>
      </c>
      <c r="H21" s="5">
        <v>5000</v>
      </c>
      <c r="I21" s="6"/>
      <c r="J21" s="6"/>
      <c r="K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2:30">
      <c r="B22" s="3">
        <v>3</v>
      </c>
      <c r="C22" s="4" t="s">
        <v>55</v>
      </c>
      <c r="D22" s="5">
        <v>50</v>
      </c>
      <c r="E22" s="6"/>
      <c r="F22" s="6"/>
      <c r="G22" s="6"/>
      <c r="H22" s="6"/>
      <c r="I22" s="6"/>
      <c r="J22" s="5">
        <v>40</v>
      </c>
      <c r="K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2:30">
      <c r="B23" s="31" t="s">
        <v>57</v>
      </c>
      <c r="C23" s="32"/>
      <c r="D23" s="14">
        <f t="shared" ref="D23:J23" si="3">SUM(D17:D22)</f>
        <v>160</v>
      </c>
      <c r="E23" s="14">
        <f t="shared" si="3"/>
        <v>12600</v>
      </c>
      <c r="F23" s="14">
        <f t="shared" si="3"/>
        <v>12600</v>
      </c>
      <c r="G23" s="14">
        <f t="shared" si="3"/>
        <v>18200</v>
      </c>
      <c r="H23" s="14">
        <f t="shared" si="3"/>
        <v>9000</v>
      </c>
      <c r="I23" s="14">
        <f t="shared" si="3"/>
        <v>0</v>
      </c>
      <c r="J23" s="14">
        <f t="shared" si="3"/>
        <v>40</v>
      </c>
      <c r="K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2:30">
      <c r="B24" s="2"/>
      <c r="C24" s="2"/>
      <c r="D24" s="2"/>
      <c r="E24" s="2"/>
      <c r="F24" s="2"/>
      <c r="G24" s="2"/>
      <c r="H24" s="2"/>
      <c r="I24" s="2"/>
      <c r="J24" s="2"/>
      <c r="K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2:30">
      <c r="B25" s="1" t="s">
        <v>0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5</v>
      </c>
      <c r="H25" s="1" t="s">
        <v>6</v>
      </c>
      <c r="I25" s="1" t="s">
        <v>7</v>
      </c>
      <c r="J25" s="1" t="s">
        <v>8</v>
      </c>
      <c r="K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2:30">
      <c r="B26" s="3">
        <v>4</v>
      </c>
      <c r="C26" s="4" t="s">
        <v>61</v>
      </c>
      <c r="D26" s="5">
        <v>25</v>
      </c>
      <c r="E26" s="5">
        <v>2000</v>
      </c>
      <c r="F26" s="5">
        <v>2000</v>
      </c>
      <c r="G26" s="5">
        <v>2000</v>
      </c>
      <c r="H26" s="5">
        <v>2000</v>
      </c>
      <c r="I26" s="6"/>
      <c r="J26" s="6"/>
      <c r="K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2:30">
      <c r="B27" s="3">
        <v>4</v>
      </c>
      <c r="C27" s="4" t="s">
        <v>62</v>
      </c>
      <c r="D27" s="5">
        <v>25</v>
      </c>
      <c r="E27" s="5">
        <v>3000</v>
      </c>
      <c r="F27" s="5">
        <v>3000</v>
      </c>
      <c r="G27" s="5">
        <v>9000</v>
      </c>
      <c r="H27" s="6"/>
      <c r="I27" s="6"/>
      <c r="J27" s="6"/>
      <c r="K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2:30">
      <c r="B28" s="3">
        <v>4</v>
      </c>
      <c r="C28" s="4" t="s">
        <v>63</v>
      </c>
      <c r="D28" s="5">
        <v>25</v>
      </c>
      <c r="E28" s="6"/>
      <c r="F28" s="5">
        <v>3000</v>
      </c>
      <c r="G28" s="5">
        <v>3000</v>
      </c>
      <c r="H28" s="6"/>
      <c r="I28" s="6"/>
      <c r="J28" s="6"/>
      <c r="K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2:30">
      <c r="B29" s="3">
        <v>4</v>
      </c>
      <c r="C29" s="4" t="s">
        <v>65</v>
      </c>
      <c r="D29" s="5">
        <v>25</v>
      </c>
      <c r="E29" s="5">
        <v>3000</v>
      </c>
      <c r="F29" s="6"/>
      <c r="G29" s="5">
        <v>3000</v>
      </c>
      <c r="H29" s="6"/>
      <c r="I29" s="6"/>
      <c r="J29" s="6"/>
      <c r="K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2:30">
      <c r="B30" s="3">
        <v>4</v>
      </c>
      <c r="C30" s="4" t="s">
        <v>67</v>
      </c>
      <c r="D30" s="5">
        <v>25</v>
      </c>
      <c r="E30" s="5">
        <v>2000</v>
      </c>
      <c r="F30" s="5">
        <v>2000</v>
      </c>
      <c r="G30" s="5">
        <v>2000</v>
      </c>
      <c r="H30" s="6"/>
      <c r="I30" s="6"/>
      <c r="J30" s="6"/>
      <c r="K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2:30">
      <c r="B31" s="3">
        <v>4</v>
      </c>
      <c r="C31" s="4" t="s">
        <v>69</v>
      </c>
      <c r="D31" s="5">
        <v>25</v>
      </c>
      <c r="E31" s="5">
        <v>3000</v>
      </c>
      <c r="F31" s="5">
        <v>3000</v>
      </c>
      <c r="G31" s="6"/>
      <c r="H31" s="6"/>
      <c r="I31" s="6"/>
      <c r="J31" s="6"/>
      <c r="K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2:30">
      <c r="B32" s="3">
        <v>4</v>
      </c>
      <c r="C32" s="4" t="s">
        <v>71</v>
      </c>
      <c r="D32" s="5">
        <v>25</v>
      </c>
      <c r="E32" s="5">
        <v>2000</v>
      </c>
      <c r="F32" s="5">
        <v>2000</v>
      </c>
      <c r="G32" s="5">
        <v>2000</v>
      </c>
      <c r="H32" s="5">
        <v>2000</v>
      </c>
      <c r="I32" s="6"/>
      <c r="J32" s="6"/>
      <c r="K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2:30">
      <c r="B33" s="3">
        <v>4</v>
      </c>
      <c r="C33" s="4" t="s">
        <v>73</v>
      </c>
      <c r="D33" s="5">
        <v>50</v>
      </c>
      <c r="E33" s="6"/>
      <c r="F33" s="6"/>
      <c r="G33" s="6"/>
      <c r="H33" s="6"/>
      <c r="I33" s="5">
        <v>20000</v>
      </c>
      <c r="J33" s="6"/>
      <c r="K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2:30">
      <c r="B34" s="3">
        <v>4</v>
      </c>
      <c r="C34" s="4" t="s">
        <v>75</v>
      </c>
      <c r="D34" s="5">
        <v>10</v>
      </c>
      <c r="E34" s="6"/>
      <c r="F34" s="6"/>
      <c r="G34" s="6"/>
      <c r="H34" s="6"/>
      <c r="I34" s="5">
        <v>20000</v>
      </c>
      <c r="J34" s="6"/>
      <c r="K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2:30">
      <c r="B35" s="3">
        <v>4</v>
      </c>
      <c r="C35" s="4" t="s">
        <v>77</v>
      </c>
      <c r="D35" s="5">
        <v>50</v>
      </c>
      <c r="E35" s="6"/>
      <c r="F35" s="6"/>
      <c r="G35" s="6"/>
      <c r="H35" s="6"/>
      <c r="I35" s="6"/>
      <c r="J35" s="5">
        <v>50</v>
      </c>
      <c r="K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2:30">
      <c r="B36" s="31" t="s">
        <v>79</v>
      </c>
      <c r="C36" s="32"/>
      <c r="D36" s="14">
        <f t="shared" ref="D36:J36" si="4">SUM(D26:D35)</f>
        <v>285</v>
      </c>
      <c r="E36" s="14">
        <f t="shared" si="4"/>
        <v>15000</v>
      </c>
      <c r="F36" s="14">
        <f t="shared" si="4"/>
        <v>15000</v>
      </c>
      <c r="G36" s="14">
        <f t="shared" si="4"/>
        <v>21000</v>
      </c>
      <c r="H36" s="14">
        <f t="shared" si="4"/>
        <v>4000</v>
      </c>
      <c r="I36" s="14">
        <f t="shared" si="4"/>
        <v>40000</v>
      </c>
      <c r="J36" s="14">
        <f t="shared" si="4"/>
        <v>50</v>
      </c>
      <c r="K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2:30">
      <c r="B37" s="2"/>
      <c r="C37" s="2"/>
      <c r="D37" s="2"/>
      <c r="E37" s="2"/>
      <c r="F37" s="2"/>
      <c r="G37" s="2"/>
      <c r="H37" s="2"/>
      <c r="I37" s="2"/>
      <c r="J37" s="2"/>
      <c r="K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2:30">
      <c r="B38" s="1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5</v>
      </c>
      <c r="H38" s="1" t="s">
        <v>6</v>
      </c>
      <c r="I38" s="1" t="s">
        <v>7</v>
      </c>
      <c r="J38" s="1" t="s">
        <v>8</v>
      </c>
      <c r="K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2:30">
      <c r="B39" s="3">
        <v>5</v>
      </c>
      <c r="C39" s="4" t="s">
        <v>83</v>
      </c>
      <c r="D39" s="5">
        <v>10</v>
      </c>
      <c r="E39" s="6"/>
      <c r="F39" s="6"/>
      <c r="G39" s="6"/>
      <c r="H39" s="6"/>
      <c r="I39" s="5">
        <v>20000</v>
      </c>
      <c r="J39" s="6"/>
      <c r="K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2:30">
      <c r="B40" s="3">
        <v>5</v>
      </c>
      <c r="C40" s="4" t="s">
        <v>84</v>
      </c>
      <c r="D40" s="5">
        <v>25</v>
      </c>
      <c r="E40" s="5">
        <v>3000</v>
      </c>
      <c r="F40" s="5">
        <v>1500</v>
      </c>
      <c r="G40" s="5">
        <v>3000</v>
      </c>
      <c r="H40" s="6"/>
      <c r="I40" s="6"/>
      <c r="J40" s="6"/>
      <c r="K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2:30">
      <c r="B41" s="3">
        <v>5</v>
      </c>
      <c r="C41" s="4" t="s">
        <v>85</v>
      </c>
      <c r="D41" s="5">
        <v>25</v>
      </c>
      <c r="E41" s="5">
        <v>1500</v>
      </c>
      <c r="F41" s="5">
        <v>3000</v>
      </c>
      <c r="G41" s="5">
        <v>3000</v>
      </c>
      <c r="H41" s="6"/>
      <c r="I41" s="6"/>
      <c r="J41" s="6"/>
      <c r="K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2:30">
      <c r="B42" s="3">
        <v>5</v>
      </c>
      <c r="C42" s="4" t="s">
        <v>87</v>
      </c>
      <c r="D42" s="5">
        <v>25</v>
      </c>
      <c r="E42" s="5">
        <v>1500</v>
      </c>
      <c r="F42" s="5">
        <v>3000</v>
      </c>
      <c r="G42" s="5">
        <v>3000</v>
      </c>
      <c r="H42" s="6"/>
      <c r="I42" s="6"/>
      <c r="J42" s="6"/>
      <c r="K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2:30">
      <c r="B43" s="3">
        <v>5</v>
      </c>
      <c r="C43" s="4" t="s">
        <v>89</v>
      </c>
      <c r="D43" s="5">
        <v>25</v>
      </c>
      <c r="E43" s="5">
        <v>3000</v>
      </c>
      <c r="F43" s="5">
        <v>1500</v>
      </c>
      <c r="G43" s="5">
        <v>3000</v>
      </c>
      <c r="H43" s="6"/>
      <c r="I43" s="6"/>
      <c r="J43" s="6"/>
      <c r="K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2:30">
      <c r="B44" s="3">
        <v>5</v>
      </c>
      <c r="C44" s="4" t="s">
        <v>91</v>
      </c>
      <c r="D44" s="5">
        <v>50</v>
      </c>
      <c r="E44" s="6"/>
      <c r="F44" s="6"/>
      <c r="G44" s="6"/>
      <c r="H44" s="6"/>
      <c r="I44" s="6"/>
      <c r="J44" s="5">
        <v>60</v>
      </c>
      <c r="K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2:30">
      <c r="B45" s="31" t="s">
        <v>93</v>
      </c>
      <c r="C45" s="32"/>
      <c r="D45" s="14">
        <f t="shared" ref="D45:J45" si="5">SUM(D39:D44)</f>
        <v>160</v>
      </c>
      <c r="E45" s="14">
        <f t="shared" si="5"/>
        <v>9000</v>
      </c>
      <c r="F45" s="14">
        <f t="shared" si="5"/>
        <v>9000</v>
      </c>
      <c r="G45" s="14">
        <f t="shared" si="5"/>
        <v>12000</v>
      </c>
      <c r="H45" s="14">
        <f t="shared" si="5"/>
        <v>0</v>
      </c>
      <c r="I45" s="14">
        <f t="shared" si="5"/>
        <v>20000</v>
      </c>
      <c r="J45" s="14">
        <f t="shared" si="5"/>
        <v>60</v>
      </c>
      <c r="K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2:30">
      <c r="B46" s="2"/>
      <c r="C46" s="2"/>
      <c r="D46" s="2"/>
      <c r="E46" s="2"/>
      <c r="F46" s="2"/>
      <c r="G46" s="2"/>
      <c r="H46" s="2"/>
      <c r="I46" s="2"/>
      <c r="J46" s="2"/>
      <c r="K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2:30">
      <c r="B47" s="1" t="s">
        <v>0</v>
      </c>
      <c r="C47" s="1" t="s">
        <v>1</v>
      </c>
      <c r="D47" s="1" t="s">
        <v>2</v>
      </c>
      <c r="E47" s="1" t="s">
        <v>3</v>
      </c>
      <c r="F47" s="1" t="s">
        <v>4</v>
      </c>
      <c r="G47" s="1" t="s">
        <v>5</v>
      </c>
      <c r="H47" s="1" t="s">
        <v>6</v>
      </c>
      <c r="I47" s="1" t="s">
        <v>7</v>
      </c>
      <c r="J47" s="1" t="s">
        <v>8</v>
      </c>
      <c r="K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2:30">
      <c r="B48" s="8">
        <v>6</v>
      </c>
      <c r="C48" s="9" t="s">
        <v>13</v>
      </c>
      <c r="D48" s="10">
        <v>25</v>
      </c>
      <c r="E48" s="10">
        <v>20000</v>
      </c>
      <c r="F48" s="10">
        <v>20000</v>
      </c>
      <c r="G48" s="10">
        <v>28000</v>
      </c>
      <c r="H48" s="10"/>
      <c r="I48" s="11"/>
      <c r="J48" s="11"/>
      <c r="K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2:30">
      <c r="B49" s="3">
        <v>6</v>
      </c>
      <c r="C49" s="4" t="s">
        <v>16</v>
      </c>
      <c r="D49" s="5">
        <v>25</v>
      </c>
      <c r="E49" s="5">
        <v>5000</v>
      </c>
      <c r="F49" s="5">
        <v>5000</v>
      </c>
      <c r="G49" s="5">
        <v>5000</v>
      </c>
      <c r="H49" s="5">
        <v>5000</v>
      </c>
      <c r="I49" s="6"/>
      <c r="J49" s="6"/>
      <c r="K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2:30">
      <c r="B50" s="3">
        <v>6</v>
      </c>
      <c r="C50" s="4" t="s">
        <v>19</v>
      </c>
      <c r="D50" s="5">
        <v>50</v>
      </c>
      <c r="E50" s="5">
        <v>10000</v>
      </c>
      <c r="F50" s="5">
        <v>10000</v>
      </c>
      <c r="G50" s="5">
        <v>25000</v>
      </c>
      <c r="H50" s="6"/>
      <c r="I50" s="6"/>
      <c r="J50" s="6"/>
    </row>
    <row r="51" spans="2:30">
      <c r="B51" s="3">
        <v>6</v>
      </c>
      <c r="C51" s="4" t="s">
        <v>21</v>
      </c>
      <c r="D51" s="5">
        <v>25</v>
      </c>
      <c r="E51" s="5">
        <v>1000</v>
      </c>
      <c r="F51" s="5">
        <v>1000</v>
      </c>
      <c r="G51" s="5">
        <v>1000</v>
      </c>
      <c r="H51" s="6"/>
      <c r="I51" s="6"/>
      <c r="J51" s="6"/>
    </row>
    <row r="52" spans="2:30">
      <c r="B52" s="3">
        <v>6</v>
      </c>
      <c r="C52" s="4" t="s">
        <v>23</v>
      </c>
      <c r="D52" s="5">
        <v>25</v>
      </c>
      <c r="E52" s="5">
        <v>3000</v>
      </c>
      <c r="F52" s="5">
        <v>3000</v>
      </c>
      <c r="G52" s="5">
        <v>3000</v>
      </c>
      <c r="H52" s="6"/>
      <c r="I52" s="6"/>
      <c r="J52" s="6"/>
    </row>
    <row r="53" spans="2:30">
      <c r="B53" s="3">
        <v>6</v>
      </c>
      <c r="C53" s="4" t="s">
        <v>26</v>
      </c>
      <c r="D53" s="5">
        <v>25</v>
      </c>
      <c r="E53" s="5">
        <v>8000</v>
      </c>
      <c r="F53" s="5">
        <v>8000</v>
      </c>
      <c r="G53" s="5">
        <v>8000</v>
      </c>
      <c r="H53" s="5">
        <v>8000</v>
      </c>
      <c r="I53" s="6"/>
      <c r="J53" s="6"/>
    </row>
    <row r="54" spans="2:30">
      <c r="B54" s="3">
        <v>6</v>
      </c>
      <c r="C54" s="4" t="s">
        <v>29</v>
      </c>
      <c r="D54" s="5">
        <v>25</v>
      </c>
      <c r="E54" s="5">
        <v>2000</v>
      </c>
      <c r="F54" s="5">
        <v>2000</v>
      </c>
      <c r="G54" s="5">
        <v>2000</v>
      </c>
      <c r="H54" s="5">
        <v>2000</v>
      </c>
      <c r="I54" s="6"/>
      <c r="J54" s="6"/>
    </row>
    <row r="55" spans="2:30">
      <c r="B55" s="3">
        <v>6</v>
      </c>
      <c r="C55" s="4" t="s">
        <v>32</v>
      </c>
      <c r="D55" s="5">
        <v>25</v>
      </c>
      <c r="E55" s="5">
        <v>3000</v>
      </c>
      <c r="F55" s="5">
        <v>3000</v>
      </c>
      <c r="G55" s="5">
        <v>3000</v>
      </c>
      <c r="H55" s="5">
        <v>3000</v>
      </c>
      <c r="I55" s="6"/>
      <c r="J55" s="6"/>
    </row>
    <row r="56" spans="2:30">
      <c r="B56" s="3">
        <v>6</v>
      </c>
      <c r="C56" s="4" t="s">
        <v>35</v>
      </c>
      <c r="D56" s="5">
        <v>25</v>
      </c>
      <c r="E56" s="5">
        <v>5000</v>
      </c>
      <c r="F56" s="5">
        <v>5000</v>
      </c>
      <c r="G56" s="5">
        <v>5000</v>
      </c>
      <c r="H56" s="6"/>
      <c r="I56" s="6"/>
      <c r="J56" s="6"/>
    </row>
    <row r="57" spans="2:30">
      <c r="B57" s="3">
        <v>6</v>
      </c>
      <c r="C57" s="4" t="s">
        <v>38</v>
      </c>
      <c r="D57" s="5">
        <v>10</v>
      </c>
      <c r="E57" s="6"/>
      <c r="F57" s="6"/>
      <c r="G57" s="6"/>
      <c r="H57" s="6"/>
      <c r="I57" s="5">
        <v>20000</v>
      </c>
      <c r="J57" s="6"/>
    </row>
    <row r="58" spans="2:30">
      <c r="B58" s="3">
        <v>6</v>
      </c>
      <c r="C58" s="4" t="s">
        <v>41</v>
      </c>
      <c r="D58" s="5">
        <v>50</v>
      </c>
      <c r="E58" s="6"/>
      <c r="F58" s="6"/>
      <c r="G58" s="6"/>
      <c r="H58" s="6"/>
      <c r="I58" s="6"/>
      <c r="J58" s="5">
        <v>70</v>
      </c>
    </row>
    <row r="59" spans="2:30">
      <c r="B59" s="31" t="s">
        <v>43</v>
      </c>
      <c r="C59" s="32"/>
      <c r="D59" s="14">
        <f t="shared" ref="D59:J59" si="6">SUM(D49:D58)</f>
        <v>285</v>
      </c>
      <c r="E59" s="14">
        <f t="shared" si="6"/>
        <v>37000</v>
      </c>
      <c r="F59" s="14">
        <f t="shared" si="6"/>
        <v>37000</v>
      </c>
      <c r="G59" s="14">
        <f t="shared" si="6"/>
        <v>52000</v>
      </c>
      <c r="H59" s="14">
        <f t="shared" si="6"/>
        <v>18000</v>
      </c>
      <c r="I59" s="14">
        <f t="shared" si="6"/>
        <v>20000</v>
      </c>
      <c r="J59" s="14">
        <f t="shared" si="6"/>
        <v>70</v>
      </c>
    </row>
    <row r="60" spans="2:30">
      <c r="B60" s="2"/>
      <c r="C60" s="2"/>
      <c r="D60" s="2"/>
      <c r="E60" s="2"/>
      <c r="F60" s="2"/>
      <c r="G60" s="2"/>
      <c r="H60" s="2"/>
      <c r="I60" s="2"/>
      <c r="J60" s="2"/>
    </row>
    <row r="61" spans="2:30">
      <c r="B61" s="1" t="s">
        <v>0</v>
      </c>
      <c r="C61" s="1" t="s">
        <v>1</v>
      </c>
      <c r="D61" s="1" t="s">
        <v>2</v>
      </c>
      <c r="E61" s="1" t="s">
        <v>3</v>
      </c>
      <c r="F61" s="1" t="s">
        <v>4</v>
      </c>
      <c r="G61" s="1" t="s">
        <v>5</v>
      </c>
      <c r="H61" s="1" t="s">
        <v>6</v>
      </c>
      <c r="I61" s="1" t="s">
        <v>7</v>
      </c>
      <c r="J61" s="1" t="s">
        <v>8</v>
      </c>
    </row>
    <row r="62" spans="2:30">
      <c r="B62" s="3">
        <v>7</v>
      </c>
      <c r="C62" s="4" t="s">
        <v>48</v>
      </c>
      <c r="D62" s="5">
        <v>10</v>
      </c>
      <c r="E62" s="5">
        <v>5000</v>
      </c>
      <c r="F62" s="5">
        <v>5000</v>
      </c>
      <c r="G62" s="5">
        <v>7500</v>
      </c>
      <c r="H62" s="6"/>
      <c r="I62" s="6"/>
      <c r="J62" s="6"/>
    </row>
    <row r="63" spans="2:30">
      <c r="B63" s="3">
        <v>7</v>
      </c>
      <c r="C63" s="4" t="s">
        <v>50</v>
      </c>
      <c r="D63" s="5">
        <v>25</v>
      </c>
      <c r="E63" s="6"/>
      <c r="F63" s="6"/>
      <c r="G63" s="6"/>
      <c r="H63" s="6"/>
      <c r="I63" s="5">
        <v>30000</v>
      </c>
      <c r="J63" s="6"/>
    </row>
    <row r="64" spans="2:30">
      <c r="B64" s="3">
        <v>7</v>
      </c>
      <c r="C64" s="4" t="s">
        <v>52</v>
      </c>
      <c r="D64" s="5">
        <v>25</v>
      </c>
      <c r="E64" s="5">
        <v>3000</v>
      </c>
      <c r="F64" s="5">
        <v>3000</v>
      </c>
      <c r="G64" s="5">
        <v>3000</v>
      </c>
      <c r="H64" s="5">
        <v>3000</v>
      </c>
      <c r="I64" s="6"/>
      <c r="J64" s="6"/>
    </row>
    <row r="65" spans="2:10">
      <c r="B65" s="3">
        <v>7</v>
      </c>
      <c r="C65" s="4" t="s">
        <v>54</v>
      </c>
      <c r="D65" s="5">
        <v>25</v>
      </c>
      <c r="E65" s="5">
        <v>6000</v>
      </c>
      <c r="F65" s="5">
        <v>6000</v>
      </c>
      <c r="G65" s="5">
        <v>6000</v>
      </c>
      <c r="H65" s="5">
        <v>6000</v>
      </c>
      <c r="I65" s="6"/>
      <c r="J65" s="6"/>
    </row>
    <row r="66" spans="2:10">
      <c r="B66" s="3">
        <v>7</v>
      </c>
      <c r="C66" s="4" t="s">
        <v>56</v>
      </c>
      <c r="D66" s="5">
        <v>50</v>
      </c>
      <c r="E66" s="6"/>
      <c r="F66" s="6"/>
      <c r="G66" s="6"/>
      <c r="H66" s="6"/>
      <c r="I66" s="5">
        <v>30000</v>
      </c>
      <c r="J66" s="6"/>
    </row>
    <row r="67" spans="2:10">
      <c r="B67" s="3">
        <v>7</v>
      </c>
      <c r="C67" s="4" t="s">
        <v>58</v>
      </c>
      <c r="D67" s="6"/>
      <c r="E67" s="6"/>
      <c r="F67" s="6"/>
      <c r="G67" s="6"/>
      <c r="H67" s="6"/>
      <c r="I67" s="5">
        <v>20000</v>
      </c>
      <c r="J67" s="6"/>
    </row>
    <row r="68" spans="2:10">
      <c r="B68" s="3">
        <v>7</v>
      </c>
      <c r="C68" s="4" t="s">
        <v>59</v>
      </c>
      <c r="D68" s="5">
        <v>50</v>
      </c>
      <c r="E68" s="6"/>
      <c r="F68" s="6"/>
      <c r="G68" s="6"/>
      <c r="H68" s="6"/>
      <c r="I68" s="6"/>
      <c r="J68" s="5">
        <v>80</v>
      </c>
    </row>
    <row r="69" spans="2:10">
      <c r="B69" s="31" t="s">
        <v>60</v>
      </c>
      <c r="C69" s="32"/>
      <c r="D69" s="14">
        <f t="shared" ref="D69:J69" si="7">SUM(D62:D68)</f>
        <v>185</v>
      </c>
      <c r="E69" s="14">
        <f t="shared" si="7"/>
        <v>14000</v>
      </c>
      <c r="F69" s="14">
        <f t="shared" si="7"/>
        <v>14000</v>
      </c>
      <c r="G69" s="14">
        <f t="shared" si="7"/>
        <v>16500</v>
      </c>
      <c r="H69" s="14">
        <f t="shared" si="7"/>
        <v>9000</v>
      </c>
      <c r="I69" s="14">
        <f t="shared" si="7"/>
        <v>80000</v>
      </c>
      <c r="J69" s="14">
        <f t="shared" si="7"/>
        <v>80</v>
      </c>
    </row>
    <row r="70" spans="2:10">
      <c r="B70" s="2"/>
      <c r="C70" s="2"/>
      <c r="D70" s="2"/>
      <c r="E70" s="2"/>
      <c r="F70" s="2"/>
      <c r="G70" s="2"/>
      <c r="H70" s="2"/>
      <c r="I70" s="2"/>
      <c r="J70" s="2"/>
    </row>
    <row r="71" spans="2:10">
      <c r="B71" s="1" t="s">
        <v>0</v>
      </c>
      <c r="C71" s="1" t="s">
        <v>1</v>
      </c>
      <c r="D71" s="1" t="s">
        <v>2</v>
      </c>
      <c r="E71" s="1" t="s">
        <v>3</v>
      </c>
      <c r="F71" s="1" t="s">
        <v>4</v>
      </c>
      <c r="G71" s="1" t="s">
        <v>5</v>
      </c>
      <c r="H71" s="1" t="s">
        <v>6</v>
      </c>
      <c r="I71" s="1" t="s">
        <v>7</v>
      </c>
      <c r="J71" s="1" t="s">
        <v>8</v>
      </c>
    </row>
    <row r="72" spans="2:10">
      <c r="B72" s="3">
        <v>8</v>
      </c>
      <c r="C72" s="4" t="s">
        <v>64</v>
      </c>
      <c r="D72" s="5">
        <v>25</v>
      </c>
      <c r="E72" s="5">
        <v>15000</v>
      </c>
      <c r="F72" s="5">
        <v>15000</v>
      </c>
      <c r="G72" s="5">
        <v>30000</v>
      </c>
      <c r="H72" s="6"/>
      <c r="I72" s="6"/>
      <c r="J72" s="6"/>
    </row>
    <row r="73" spans="2:10">
      <c r="B73" s="3">
        <v>8</v>
      </c>
      <c r="C73" s="4" t="s">
        <v>66</v>
      </c>
      <c r="D73" s="5">
        <v>25</v>
      </c>
      <c r="E73" s="5">
        <v>3000</v>
      </c>
      <c r="F73" s="5">
        <v>3000</v>
      </c>
      <c r="G73" s="5">
        <v>5000</v>
      </c>
      <c r="H73" s="6"/>
      <c r="I73" s="6"/>
      <c r="J73" s="6"/>
    </row>
    <row r="74" spans="2:10">
      <c r="B74" s="3">
        <v>8</v>
      </c>
      <c r="C74" s="4" t="s">
        <v>68</v>
      </c>
      <c r="D74" s="5">
        <v>25</v>
      </c>
      <c r="E74" s="6"/>
      <c r="F74" s="5">
        <v>6000</v>
      </c>
      <c r="G74" s="5">
        <v>6000</v>
      </c>
      <c r="H74" s="6"/>
      <c r="I74" s="6"/>
      <c r="J74" s="6"/>
    </row>
    <row r="75" spans="2:10">
      <c r="B75" s="3">
        <v>8</v>
      </c>
      <c r="C75" s="4" t="s">
        <v>70</v>
      </c>
      <c r="D75" s="5">
        <v>25</v>
      </c>
      <c r="E75" s="5">
        <v>6000</v>
      </c>
      <c r="F75" s="6"/>
      <c r="G75" s="5">
        <v>6000</v>
      </c>
      <c r="H75" s="6"/>
      <c r="I75" s="6"/>
      <c r="J75" s="6"/>
    </row>
    <row r="76" spans="2:10">
      <c r="B76" s="3">
        <v>8</v>
      </c>
      <c r="C76" s="4" t="s">
        <v>72</v>
      </c>
      <c r="D76" s="5">
        <v>25</v>
      </c>
      <c r="E76" s="5">
        <v>4000</v>
      </c>
      <c r="F76" s="5">
        <v>4000</v>
      </c>
      <c r="G76" s="5">
        <v>4000</v>
      </c>
      <c r="H76" s="6"/>
      <c r="I76" s="6"/>
      <c r="J76" s="6"/>
    </row>
    <row r="77" spans="2:10">
      <c r="B77" s="3">
        <v>8</v>
      </c>
      <c r="C77" s="4" t="s">
        <v>74</v>
      </c>
      <c r="D77" s="5">
        <v>25</v>
      </c>
      <c r="E77" s="5">
        <v>6000</v>
      </c>
      <c r="F77" s="5">
        <v>6000</v>
      </c>
      <c r="G77" s="6"/>
      <c r="H77" s="6"/>
      <c r="I77" s="6"/>
      <c r="J77" s="6"/>
    </row>
    <row r="78" spans="2:10">
      <c r="B78" s="3">
        <v>8</v>
      </c>
      <c r="C78" s="4" t="s">
        <v>76</v>
      </c>
      <c r="D78" s="5">
        <v>25</v>
      </c>
      <c r="E78" s="5">
        <v>5000</v>
      </c>
      <c r="F78" s="5">
        <v>5000</v>
      </c>
      <c r="G78" s="5">
        <v>5000</v>
      </c>
      <c r="H78" s="5">
        <v>5000</v>
      </c>
      <c r="I78" s="6"/>
      <c r="J78" s="6"/>
    </row>
    <row r="79" spans="2:10">
      <c r="B79" s="3">
        <v>8</v>
      </c>
      <c r="C79" s="4" t="s">
        <v>78</v>
      </c>
      <c r="D79" s="5">
        <v>25</v>
      </c>
      <c r="E79" s="5">
        <v>3000</v>
      </c>
      <c r="F79" s="5">
        <v>3000</v>
      </c>
      <c r="G79" s="5">
        <v>3000</v>
      </c>
      <c r="H79" s="6"/>
      <c r="I79" s="6"/>
      <c r="J79" s="6"/>
    </row>
    <row r="80" spans="2:10">
      <c r="B80" s="3">
        <v>8</v>
      </c>
      <c r="C80" s="4" t="s">
        <v>80</v>
      </c>
      <c r="D80" s="5">
        <v>50</v>
      </c>
      <c r="E80" s="5">
        <v>10000</v>
      </c>
      <c r="F80" s="5">
        <v>10000</v>
      </c>
      <c r="G80" s="6"/>
      <c r="H80" s="5">
        <v>30000</v>
      </c>
      <c r="I80" s="6"/>
      <c r="J80" s="6"/>
    </row>
    <row r="81" spans="2:10">
      <c r="B81" s="3">
        <v>8</v>
      </c>
      <c r="C81" s="4" t="s">
        <v>81</v>
      </c>
      <c r="D81" s="5">
        <v>50</v>
      </c>
      <c r="E81" s="6"/>
      <c r="F81" s="6"/>
      <c r="G81" s="6"/>
      <c r="H81" s="6"/>
      <c r="I81" s="6"/>
      <c r="J81" s="5">
        <v>90</v>
      </c>
    </row>
    <row r="82" spans="2:10">
      <c r="B82" s="31" t="s">
        <v>82</v>
      </c>
      <c r="C82" s="32"/>
      <c r="D82" s="14">
        <f t="shared" ref="D82:J82" si="8">SUM(D72:D81)</f>
        <v>300</v>
      </c>
      <c r="E82" s="14">
        <f t="shared" si="8"/>
        <v>52000</v>
      </c>
      <c r="F82" s="14">
        <f t="shared" si="8"/>
        <v>52000</v>
      </c>
      <c r="G82" s="14">
        <f t="shared" si="8"/>
        <v>59000</v>
      </c>
      <c r="H82" s="14">
        <f t="shared" si="8"/>
        <v>35000</v>
      </c>
      <c r="I82" s="14">
        <f t="shared" si="8"/>
        <v>0</v>
      </c>
      <c r="J82" s="14">
        <f t="shared" si="8"/>
        <v>90</v>
      </c>
    </row>
    <row r="83" spans="2:10">
      <c r="B83" s="2"/>
      <c r="C83" s="2"/>
      <c r="D83" s="2"/>
      <c r="E83" s="2"/>
      <c r="F83" s="2"/>
      <c r="G83" s="2"/>
      <c r="H83" s="2"/>
      <c r="I83" s="2"/>
      <c r="J83" s="2"/>
    </row>
    <row r="84" spans="2:10">
      <c r="B84" s="1" t="s">
        <v>0</v>
      </c>
      <c r="C84" s="1" t="s">
        <v>1</v>
      </c>
      <c r="D84" s="1" t="s">
        <v>2</v>
      </c>
      <c r="E84" s="1" t="s">
        <v>3</v>
      </c>
      <c r="F84" s="1" t="s">
        <v>4</v>
      </c>
      <c r="G84" s="1" t="s">
        <v>5</v>
      </c>
      <c r="H84" s="1" t="s">
        <v>6</v>
      </c>
      <c r="I84" s="1" t="s">
        <v>7</v>
      </c>
      <c r="J84" s="1" t="s">
        <v>8</v>
      </c>
    </row>
    <row r="85" spans="2:10">
      <c r="B85" s="3">
        <v>9</v>
      </c>
      <c r="C85" s="4" t="s">
        <v>86</v>
      </c>
      <c r="D85" s="5">
        <v>25</v>
      </c>
      <c r="E85" s="5">
        <v>6000</v>
      </c>
      <c r="F85" s="5">
        <v>6000</v>
      </c>
      <c r="G85" s="5">
        <v>6000</v>
      </c>
      <c r="H85" s="6"/>
      <c r="I85" s="6"/>
      <c r="J85" s="6"/>
    </row>
    <row r="86" spans="2:10">
      <c r="B86" s="3">
        <v>9</v>
      </c>
      <c r="C86" s="3" t="s">
        <v>88</v>
      </c>
      <c r="D86" s="5">
        <v>25</v>
      </c>
      <c r="E86" s="5">
        <v>6000</v>
      </c>
      <c r="F86" s="5">
        <v>6000</v>
      </c>
      <c r="G86" s="5">
        <v>6000</v>
      </c>
      <c r="H86" s="6"/>
      <c r="I86" s="6"/>
      <c r="J86" s="6"/>
    </row>
    <row r="87" spans="2:10">
      <c r="B87" s="3">
        <v>9</v>
      </c>
      <c r="C87" s="3" t="s">
        <v>90</v>
      </c>
      <c r="D87" s="5">
        <v>25</v>
      </c>
      <c r="E87" s="5">
        <v>6000</v>
      </c>
      <c r="F87" s="5">
        <v>6000</v>
      </c>
      <c r="G87" s="5">
        <v>6000</v>
      </c>
      <c r="H87" s="6"/>
      <c r="I87" s="6"/>
      <c r="J87" s="6"/>
    </row>
    <row r="88" spans="2:10">
      <c r="B88" s="3">
        <v>9</v>
      </c>
      <c r="C88" s="3" t="s">
        <v>92</v>
      </c>
      <c r="D88" s="5">
        <v>25</v>
      </c>
      <c r="E88" s="5">
        <v>6000</v>
      </c>
      <c r="F88" s="5">
        <v>6000</v>
      </c>
      <c r="G88" s="5">
        <v>6000</v>
      </c>
      <c r="H88" s="6"/>
      <c r="I88" s="6"/>
      <c r="J88" s="6"/>
    </row>
    <row r="89" spans="2:10">
      <c r="B89" s="3">
        <v>9</v>
      </c>
      <c r="C89" s="4" t="s">
        <v>94</v>
      </c>
      <c r="D89" s="5">
        <v>25</v>
      </c>
      <c r="E89" s="5">
        <v>7000</v>
      </c>
      <c r="F89" s="5">
        <v>7000</v>
      </c>
      <c r="G89" s="5">
        <v>7000</v>
      </c>
      <c r="H89" s="5">
        <v>7000</v>
      </c>
      <c r="I89" s="6"/>
      <c r="J89" s="6"/>
    </row>
    <row r="90" spans="2:10">
      <c r="B90" s="3">
        <v>9</v>
      </c>
      <c r="C90" s="4" t="s">
        <v>95</v>
      </c>
      <c r="D90" s="5">
        <v>25</v>
      </c>
      <c r="E90" s="5">
        <v>6000</v>
      </c>
      <c r="F90" s="5">
        <v>6000</v>
      </c>
      <c r="G90" s="5">
        <v>8000</v>
      </c>
      <c r="H90" s="6"/>
      <c r="I90" s="6"/>
      <c r="J90" s="6"/>
    </row>
    <row r="91" spans="2:10">
      <c r="B91" s="3">
        <v>9</v>
      </c>
      <c r="C91" s="4" t="s">
        <v>96</v>
      </c>
      <c r="D91" s="5">
        <v>100</v>
      </c>
      <c r="E91" s="6"/>
      <c r="F91" s="6"/>
      <c r="G91" s="6"/>
      <c r="H91" s="6"/>
      <c r="I91" s="5">
        <v>30000</v>
      </c>
      <c r="J91" s="6"/>
    </row>
    <row r="92" spans="2:10">
      <c r="B92" s="3">
        <v>9</v>
      </c>
      <c r="C92" s="4" t="s">
        <v>97</v>
      </c>
      <c r="D92" s="5">
        <v>100</v>
      </c>
      <c r="E92" s="6"/>
      <c r="F92" s="6"/>
      <c r="G92" s="6"/>
      <c r="H92" s="6"/>
      <c r="I92" s="6"/>
      <c r="J92" s="5">
        <v>100</v>
      </c>
    </row>
    <row r="93" spans="2:10">
      <c r="B93" s="31" t="s">
        <v>98</v>
      </c>
      <c r="C93" s="32"/>
      <c r="D93" s="14">
        <f t="shared" ref="D93:J93" si="9">SUM(D85:D92)</f>
        <v>350</v>
      </c>
      <c r="E93" s="14">
        <f t="shared" si="9"/>
        <v>37000</v>
      </c>
      <c r="F93" s="14">
        <f t="shared" si="9"/>
        <v>37000</v>
      </c>
      <c r="G93" s="14">
        <f t="shared" si="9"/>
        <v>39000</v>
      </c>
      <c r="H93" s="14">
        <f t="shared" si="9"/>
        <v>7000</v>
      </c>
      <c r="I93" s="14">
        <f t="shared" si="9"/>
        <v>30000</v>
      </c>
      <c r="J93" s="14">
        <f t="shared" si="9"/>
        <v>100</v>
      </c>
    </row>
  </sheetData>
  <mergeCells count="12">
    <mergeCell ref="B93:C93"/>
    <mergeCell ref="L2:T2"/>
    <mergeCell ref="V2:AD2"/>
    <mergeCell ref="B6:C6"/>
    <mergeCell ref="B14:C14"/>
    <mergeCell ref="B59:C59"/>
    <mergeCell ref="V16:W16"/>
    <mergeCell ref="B23:C23"/>
    <mergeCell ref="B69:C69"/>
    <mergeCell ref="B36:C36"/>
    <mergeCell ref="B82:C82"/>
    <mergeCell ref="B45:C4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건물자원</vt:lpstr>
      <vt:lpstr>임무표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pieceofhope@naver.com</dc:creator>
  <cp:lastModifiedBy>pieceofhope@naver.com</cp:lastModifiedBy>
  <dcterms:created xsi:type="dcterms:W3CDTF">2026-08-19T02:45:41Z</dcterms:created>
  <dcterms:modified xsi:type="dcterms:W3CDTF">2026-08-20T05:26:47Z</dcterms:modified>
</cp:coreProperties>
</file>